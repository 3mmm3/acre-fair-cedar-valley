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شبورد" sheetId="1" state="visible" r:id="rId1"/>
    <sheet xmlns:r="http://schemas.openxmlformats.org/officeDocument/2006/relationships" name="لیست دانش‌آموزان" sheetId="2" state="visible" r:id="rId2"/>
    <sheet xmlns:r="http://schemas.openxmlformats.org/officeDocument/2006/relationships" name="ورود اطلاعات روزانه" sheetId="3" state="visible" r:id="rId3"/>
    <sheet xmlns:r="http://schemas.openxmlformats.org/officeDocument/2006/relationships" name="داده‌های خا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color rgb="00666666"/>
      <sz val="11"/>
    </font>
    <font>
      <name val="Arial"/>
      <b val="1"/>
      <color rgb="002E75B6"/>
      <sz val="14"/>
    </font>
    <font>
      <name val="Arial"/>
      <sz val="11"/>
    </font>
    <font>
      <name val="Arial"/>
      <b val="1"/>
      <color rgb="001F4E79"/>
      <sz val="14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1F4E79"/>
      <sz val="18"/>
    </font>
    <font>
      <name val="Arial"/>
      <b val="1"/>
      <sz val="11"/>
    </font>
    <font>
      <name val="Arial"/>
      <color rgb="00666666"/>
      <sz val="9"/>
    </font>
    <font>
      <name val="Arial"/>
      <i val="1"/>
      <color rgb="00C62828"/>
      <sz val="10"/>
    </font>
  </fonts>
  <fills count="8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F2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" customWidth="1" min="4" max="4"/>
    <col width="2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سیستم حرفه‌ای ارزیابی عملکرد حافظان قرآن | طرح صبحگاهی دارالقرآن</t>
        </is>
      </c>
    </row>
    <row r="2">
      <c r="A2" s="2" t="inlineStr">
        <is>
          <t>نسخه ۱.۰ | تاریخ آخرین بروزرسانی: ۱۴۰۵/۵/۲۲</t>
        </is>
      </c>
    </row>
    <row r="4">
      <c r="A4" s="3" t="inlineStr">
        <is>
          <t>خلاصه کلاس</t>
        </is>
      </c>
      <c r="D4" s="3" t="inlineStr">
        <is>
          <t>رتبه</t>
        </is>
      </c>
    </row>
    <row r="5">
      <c r="A5" s="4" t="inlineStr">
        <is>
          <t>تعداد دانش‌آموزان</t>
        </is>
      </c>
      <c r="B5" s="5" t="n">
        <v>12</v>
      </c>
      <c r="D5" s="6" t="inlineStr">
        <is>
          <t>رتبه</t>
        </is>
      </c>
      <c r="E5" s="6" t="inlineStr">
        <is>
          <t>نام دانش‌آموز</t>
        </is>
      </c>
      <c r="F5" s="6" t="inlineStr">
        <is>
          <t>نمره هفته</t>
        </is>
      </c>
      <c r="G5" s="6" t="inlineStr">
        <is>
          <t>سطح</t>
        </is>
      </c>
    </row>
    <row r="6">
      <c r="A6" s="4" t="inlineStr">
        <is>
          <t>میانگین نمره هفته جاری</t>
        </is>
      </c>
      <c r="B6" s="5">
        <f>AVERAGEIF(لیست_دانش‌آموزان!G:G,"&gt;0")</f>
        <v/>
      </c>
    </row>
    <row r="7">
      <c r="A7" s="4" t="inlineStr">
        <is>
          <t>بالاترین نمره</t>
        </is>
      </c>
      <c r="B7" s="5">
        <f>MAX(لیست_دانش‌آموزان!G:G)</f>
        <v/>
      </c>
    </row>
    <row r="8">
      <c r="A8" s="4" t="inlineStr">
        <is>
          <t>پایین‌ترین نمره</t>
        </is>
      </c>
      <c r="B8" s="5">
        <f>MIN(IF(لیست_دانش‌آموزان!G:G&gt;0,لیست_دانش‌آموزان!G:G))</f>
        <v/>
      </c>
    </row>
    <row r="9">
      <c r="A9" s="4" t="inlineStr">
        <is>
          <t>تعداد سطح B</t>
        </is>
      </c>
      <c r="B9" s="5">
        <f>COUNTIF(لیست_دانش‌آموزان!H:H,"B")</f>
        <v/>
      </c>
    </row>
    <row r="10">
      <c r="A10" s="4" t="inlineStr">
        <is>
          <t>تعداد سطح C</t>
        </is>
      </c>
      <c r="B10" s="5">
        <f>COUNTIF(لیست_دانش‌آموزان!H:H,"C")</f>
        <v/>
      </c>
    </row>
    <row r="12">
      <c r="A12" s="3" t="inlineStr">
        <is>
          <t>راهنمای استفاده</t>
        </is>
      </c>
    </row>
    <row r="13">
      <c r="A13" s="7" t="inlineStr">
        <is>
          <t>۱. ابتدا در شیت «لیست دانش‌آموزان» مشخصات پایه دانش‌آموزان را وارد یا ویرایش کنید.</t>
        </is>
      </c>
    </row>
    <row r="14">
      <c r="A14" s="7" t="inlineStr">
        <is>
          <t>۲. برای ثبت نمرات روزانه به شیت «ورود اطلاعات روزانه» بروید و داده‌ها را در ردیف‌های زرد وارد کنید.</t>
        </is>
      </c>
    </row>
    <row r="15">
      <c r="A15" s="7" t="inlineStr">
        <is>
          <t>۳. نمرات جمع، میانگین و ارزیابی‌ها به صورت خودکار محاسبه می‌شوند.</t>
        </is>
      </c>
    </row>
    <row r="16">
      <c r="A16" s="7" t="inlineStr">
        <is>
          <t>۴. شیت «عملکرد هفتگی» خلاصه هر هفته را نشان می‌دهد.</t>
        </is>
      </c>
    </row>
    <row r="17">
      <c r="A17" s="7" t="inlineStr">
        <is>
          <t>۵. برای دیدن جزئیات هر دانش‌آموز، نام او را در شیت «پرونده دانش‌آموز» انتخاب کنید.</t>
        </is>
      </c>
    </row>
    <row r="18">
      <c r="A18" s="7" t="inlineStr">
        <is>
          <t>۶. شیت «تحلیل و پیشنهاد» نقاط ضعف و قوت را شناسایی کرده و پیشنهاد تمرین می‌دهد.</t>
        </is>
      </c>
    </row>
    <row r="19">
      <c r="A19" s="7" t="inlineStr">
        <is>
          <t>۷. داشبورد این صفحه همیشه به‌روز است و نمای کلی کلاس را نشان می‌دهد.</t>
        </is>
      </c>
    </row>
  </sheetData>
  <mergeCells count="12">
    <mergeCell ref="A2:L2"/>
    <mergeCell ref="A16:L16"/>
    <mergeCell ref="A15:L15"/>
    <mergeCell ref="A19:L19"/>
    <mergeCell ref="A1:L1"/>
    <mergeCell ref="A13:L13"/>
    <mergeCell ref="A14:L14"/>
    <mergeCell ref="A17:L17"/>
    <mergeCell ref="A18:L18"/>
    <mergeCell ref="A4:C4"/>
    <mergeCell ref="A12:L12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0" customWidth="1" min="4" max="4"/>
    <col width="12" customWidth="1" min="5" max="5"/>
    <col width="16" customWidth="1" min="6" max="6"/>
    <col width="14" customWidth="1" min="7" max="7"/>
    <col width="10" customWidth="1" min="8" max="8"/>
    <col width="14" customWidth="1" min="9" max="9"/>
    <col width="45" customWidth="1" min="10" max="10"/>
    <col width="12" customWidth="1" min="11" max="11"/>
  </cols>
  <sheetData>
    <row r="1">
      <c r="A1" s="8" t="inlineStr">
        <is>
          <t>لیست و مشخصات دانش‌آموزان حافظ</t>
        </is>
      </c>
    </row>
    <row r="3" ht="30" customHeight="1">
      <c r="A3" s="6" t="inlineStr">
        <is>
          <t>ردیف</t>
        </is>
      </c>
      <c r="B3" s="6" t="inlineStr">
        <is>
          <t>نام و نام خانوادگی</t>
        </is>
      </c>
      <c r="C3" s="6" t="inlineStr">
        <is>
          <t>کد دانش‌آموز</t>
        </is>
      </c>
      <c r="D3" s="6" t="inlineStr">
        <is>
          <t>سطح فعلی</t>
        </is>
      </c>
      <c r="E3" s="6" t="inlineStr">
        <is>
          <t>تاریخ ورود</t>
        </is>
      </c>
      <c r="F3" s="6" t="inlineStr">
        <is>
          <t>میانگین کل (از ۱۰۰)</t>
        </is>
      </c>
      <c r="G3" s="6" t="inlineStr">
        <is>
          <t>نمره هفته جاری</t>
        </is>
      </c>
      <c r="H3" s="6" t="inlineStr">
        <is>
          <t>سطح هفته</t>
        </is>
      </c>
      <c r="I3" s="6" t="inlineStr">
        <is>
          <t>امتیازات انباشته</t>
        </is>
      </c>
      <c r="J3" s="6" t="inlineStr">
        <is>
          <t>توضیحات / جوایز</t>
        </is>
      </c>
      <c r="K3" s="6" t="inlineStr">
        <is>
          <t>وضعیت حضور</t>
        </is>
      </c>
    </row>
    <row r="4">
      <c r="A4" s="9" t="n">
        <v>1</v>
      </c>
      <c r="B4" s="9" t="inlineStr">
        <is>
          <t>محمد طه زارعیان</t>
        </is>
      </c>
      <c r="C4" s="9" t="inlineStr">
        <is>
          <t>S01</t>
        </is>
      </c>
      <c r="D4" s="10" t="inlineStr">
        <is>
          <t>C</t>
        </is>
      </c>
      <c r="E4" s="9" t="inlineStr">
        <is>
          <t>1405/01/01</t>
        </is>
      </c>
      <c r="F4" s="11" t="n">
        <v>67</v>
      </c>
      <c r="G4" s="11" t="n">
        <v>67</v>
      </c>
      <c r="H4" s="10" t="inlineStr">
        <is>
          <t>C</t>
        </is>
      </c>
      <c r="I4" s="9" t="n">
        <v>500</v>
      </c>
      <c r="J4" s="9" t="inlineStr">
        <is>
          <t>نزول به سطح C | ۵۰۰ امتیاز هفته پیش</t>
        </is>
      </c>
      <c r="K4" s="9" t="inlineStr">
        <is>
          <t>حاضر</t>
        </is>
      </c>
    </row>
    <row r="5">
      <c r="A5" s="9" t="n">
        <v>2</v>
      </c>
      <c r="B5" s="9" t="inlineStr">
        <is>
          <t>محمد طه میرشکار</t>
        </is>
      </c>
      <c r="C5" s="9" t="inlineStr">
        <is>
          <t>S02</t>
        </is>
      </c>
      <c r="D5" s="12" t="inlineStr">
        <is>
          <t>B</t>
        </is>
      </c>
      <c r="E5" s="9" t="inlineStr">
        <is>
          <t>1405/01/01</t>
        </is>
      </c>
      <c r="F5" s="11" t="n">
        <v>79</v>
      </c>
      <c r="G5" s="11" t="n">
        <v>73</v>
      </c>
      <c r="H5" s="12" t="inlineStr">
        <is>
          <t>B</t>
        </is>
      </c>
      <c r="I5" s="9" t="n">
        <v>0</v>
      </c>
      <c r="J5" s="9" t="inlineStr">
        <is>
          <t>ابقاء در سطح B</t>
        </is>
      </c>
      <c r="K5" s="9" t="inlineStr">
        <is>
          <t>حاضر</t>
        </is>
      </c>
    </row>
    <row r="6">
      <c r="A6" s="9" t="n">
        <v>3</v>
      </c>
      <c r="B6" s="9" t="inlineStr">
        <is>
          <t>سیدمحمدطه حسینی</t>
        </is>
      </c>
      <c r="C6" s="9" t="inlineStr">
        <is>
          <t>S03</t>
        </is>
      </c>
      <c r="D6" s="12" t="inlineStr">
        <is>
          <t>B</t>
        </is>
      </c>
      <c r="E6" s="9" t="inlineStr">
        <is>
          <t>1405/01/01</t>
        </is>
      </c>
      <c r="F6" s="11" t="n">
        <v>79</v>
      </c>
      <c r="G6" s="11" t="n">
        <v>75</v>
      </c>
      <c r="H6" s="12" t="inlineStr">
        <is>
          <t>B</t>
        </is>
      </c>
      <c r="I6" s="9" t="n">
        <v>0</v>
      </c>
      <c r="J6" s="9" t="inlineStr">
        <is>
          <t>ارتقاء به سطح B</t>
        </is>
      </c>
      <c r="K6" s="9" t="inlineStr">
        <is>
          <t>حاضر</t>
        </is>
      </c>
    </row>
    <row r="7">
      <c r="A7" s="9" t="n">
        <v>4</v>
      </c>
      <c r="B7" s="9" t="inlineStr">
        <is>
          <t>ابوالفضل دهقانیزاده</t>
        </is>
      </c>
      <c r="C7" s="9" t="inlineStr">
        <is>
          <t>S04</t>
        </is>
      </c>
      <c r="D7" s="12" t="inlineStr">
        <is>
          <t>B</t>
        </is>
      </c>
      <c r="E7" s="9" t="inlineStr">
        <is>
          <t>1405/01/01</t>
        </is>
      </c>
      <c r="F7" s="11" t="n">
        <v>77.5</v>
      </c>
      <c r="G7" s="11" t="n">
        <v>77</v>
      </c>
      <c r="H7" s="12" t="inlineStr">
        <is>
          <t>B</t>
        </is>
      </c>
      <c r="I7" s="9" t="n">
        <v>750</v>
      </c>
      <c r="J7" s="9" t="inlineStr">
        <is>
          <t>ابقاء در سطح B | ۷۵۰ امتیاز نقره‌ای دو هفته پیش</t>
        </is>
      </c>
      <c r="K7" s="9" t="inlineStr">
        <is>
          <t>حاضر</t>
        </is>
      </c>
    </row>
    <row r="8">
      <c r="A8" s="9" t="n">
        <v>5</v>
      </c>
      <c r="B8" s="9" t="inlineStr">
        <is>
          <t>محمدمهدی زارعیان</t>
        </is>
      </c>
      <c r="C8" s="9" t="inlineStr">
        <is>
          <t>S05</t>
        </is>
      </c>
      <c r="D8" s="10" t="inlineStr">
        <is>
          <t>C</t>
        </is>
      </c>
      <c r="E8" s="9" t="inlineStr">
        <is>
          <t>1405/01/01</t>
        </is>
      </c>
      <c r="F8" s="11" t="n">
        <v>63.5</v>
      </c>
      <c r="G8" s="11" t="n">
        <v>60</v>
      </c>
      <c r="H8" s="10" t="inlineStr">
        <is>
          <t>C</t>
        </is>
      </c>
      <c r="I8" s="9" t="n">
        <v>0</v>
      </c>
      <c r="J8" s="9" t="inlineStr">
        <is>
          <t>نزول به سطح C</t>
        </is>
      </c>
      <c r="K8" s="9" t="inlineStr">
        <is>
          <t>حاضر</t>
        </is>
      </c>
    </row>
    <row r="9">
      <c r="A9" s="9" t="n">
        <v>6</v>
      </c>
      <c r="B9" s="9" t="inlineStr">
        <is>
          <t>بهنام بیک</t>
        </is>
      </c>
      <c r="C9" s="9" t="inlineStr">
        <is>
          <t>S06</t>
        </is>
      </c>
      <c r="D9" s="10" t="inlineStr">
        <is>
          <t>C</t>
        </is>
      </c>
      <c r="E9" s="9" t="inlineStr">
        <is>
          <t>1405/01/01</t>
        </is>
      </c>
      <c r="F9" s="11" t="n">
        <v>69</v>
      </c>
      <c r="G9" s="11" t="n">
        <v>67</v>
      </c>
      <c r="H9" s="10" t="inlineStr">
        <is>
          <t>C</t>
        </is>
      </c>
      <c r="I9" s="9" t="n">
        <v>0</v>
      </c>
      <c r="J9" s="9" t="inlineStr">
        <is>
          <t>ابقاء در سطح C</t>
        </is>
      </c>
      <c r="K9" s="9" t="inlineStr">
        <is>
          <t>حاضر</t>
        </is>
      </c>
    </row>
    <row r="10">
      <c r="A10" s="9" t="n">
        <v>7</v>
      </c>
      <c r="B10" s="9" t="inlineStr">
        <is>
          <t>محمد امین زارع</t>
        </is>
      </c>
      <c r="C10" s="9" t="inlineStr">
        <is>
          <t>S07</t>
        </is>
      </c>
      <c r="D10" s="12" t="inlineStr">
        <is>
          <t>B</t>
        </is>
      </c>
      <c r="E10" s="9" t="inlineStr">
        <is>
          <t>1405/01/01</t>
        </is>
      </c>
      <c r="F10" s="11" t="n">
        <v>77.5</v>
      </c>
      <c r="G10" s="11" t="n">
        <v>78</v>
      </c>
      <c r="H10" s="12" t="inlineStr">
        <is>
          <t>B</t>
        </is>
      </c>
      <c r="I10" s="9" t="n">
        <v>2000</v>
      </c>
      <c r="J10" s="9" t="inlineStr">
        <is>
          <t>ابقاء در سطح B | مرد اخلاق این هفته و هفته پیش | ۲۰۰۰ امتیاز</t>
        </is>
      </c>
      <c r="K10" s="9" t="inlineStr">
        <is>
          <t>حاضر</t>
        </is>
      </c>
    </row>
    <row r="11">
      <c r="A11" s="9" t="n">
        <v>8</v>
      </c>
      <c r="B11" s="9" t="inlineStr">
        <is>
          <t>سیدمصطفی طباطبایی‌نسب</t>
        </is>
      </c>
      <c r="C11" s="9" t="inlineStr">
        <is>
          <t>S08</t>
        </is>
      </c>
      <c r="D11" s="10" t="inlineStr">
        <is>
          <t>C</t>
        </is>
      </c>
      <c r="E11" s="9" t="inlineStr">
        <is>
          <t>1405/01/01</t>
        </is>
      </c>
      <c r="F11" s="11" t="n">
        <v>72</v>
      </c>
      <c r="G11" s="11" t="n">
        <v>65</v>
      </c>
      <c r="H11" s="10" t="inlineStr">
        <is>
          <t>C</t>
        </is>
      </c>
      <c r="I11" s="9" t="n">
        <v>0</v>
      </c>
      <c r="J11" s="9" t="inlineStr">
        <is>
          <t>نزول به سطح C</t>
        </is>
      </c>
      <c r="K11" s="9" t="inlineStr">
        <is>
          <t>حاضر</t>
        </is>
      </c>
    </row>
    <row r="12">
      <c r="A12" s="9" t="n">
        <v>9</v>
      </c>
      <c r="B12" s="9" t="inlineStr">
        <is>
          <t>ابوالفضل پورصباغ</t>
        </is>
      </c>
      <c r="C12" s="9" t="inlineStr">
        <is>
          <t>S09</t>
        </is>
      </c>
      <c r="D12" s="10" t="inlineStr">
        <is>
          <t>C</t>
        </is>
      </c>
      <c r="E12" s="9" t="inlineStr">
        <is>
          <t>1405/01/01</t>
        </is>
      </c>
      <c r="F12" s="11" t="n">
        <v>74</v>
      </c>
      <c r="G12" s="11" t="n">
        <v>67</v>
      </c>
      <c r="H12" s="10" t="inlineStr">
        <is>
          <t>C</t>
        </is>
      </c>
      <c r="I12" s="9" t="n">
        <v>0</v>
      </c>
      <c r="J12" s="9" t="inlineStr">
        <is>
          <t>نزول به سطح C</t>
        </is>
      </c>
      <c r="K12" s="9" t="inlineStr">
        <is>
          <t>حاضر</t>
        </is>
      </c>
    </row>
    <row r="13">
      <c r="A13" s="9" t="n">
        <v>10</v>
      </c>
      <c r="B13" s="9" t="inlineStr">
        <is>
          <t>بهزاد بیک</t>
        </is>
      </c>
      <c r="C13" s="9" t="inlineStr">
        <is>
          <t>S10</t>
        </is>
      </c>
      <c r="D13" s="12" t="inlineStr">
        <is>
          <t>B</t>
        </is>
      </c>
      <c r="E13" s="9" t="inlineStr">
        <is>
          <t>1405/01/01</t>
        </is>
      </c>
      <c r="F13" s="11" t="n">
        <v>79</v>
      </c>
      <c r="G13" s="11" t="n">
        <v>70</v>
      </c>
      <c r="H13" s="12" t="inlineStr">
        <is>
          <t>B</t>
        </is>
      </c>
      <c r="I13" s="9" t="n">
        <v>750</v>
      </c>
      <c r="J13" s="9" t="inlineStr">
        <is>
          <t>ابقاء در سطح B | ۷۵۰ امتیاز کارت نقره‌ای دو هفته پیش</t>
        </is>
      </c>
      <c r="K13" s="9" t="inlineStr">
        <is>
          <t>حاضر</t>
        </is>
      </c>
    </row>
    <row r="14">
      <c r="A14" s="9" t="n">
        <v>11</v>
      </c>
      <c r="B14" s="9" t="inlineStr">
        <is>
          <t>محمدرضا زارع بیدکی</t>
        </is>
      </c>
      <c r="C14" s="9" t="inlineStr">
        <is>
          <t>S11</t>
        </is>
      </c>
      <c r="D14" s="10" t="inlineStr">
        <is>
          <t>C</t>
        </is>
      </c>
      <c r="E14" s="9" t="inlineStr">
        <is>
          <t>1405/01/01</t>
        </is>
      </c>
      <c r="F14" s="11" t="n">
        <v>50</v>
      </c>
      <c r="G14" s="11" t="n">
        <v>25</v>
      </c>
      <c r="H14" s="10" t="inlineStr">
        <is>
          <t>C</t>
        </is>
      </c>
      <c r="I14" s="9" t="n">
        <v>0</v>
      </c>
      <c r="J14" s="9" t="inlineStr">
        <is>
          <t>نزول به سطح C | غیبت موجه - نمره پایه</t>
        </is>
      </c>
      <c r="K14" s="9" t="inlineStr">
        <is>
          <t>غیبت موجه</t>
        </is>
      </c>
    </row>
    <row r="15">
      <c r="A15" s="9" t="n">
        <v>12</v>
      </c>
      <c r="B15" s="9" t="inlineStr">
        <is>
          <t>سیدعلی حسینی‌مهر</t>
        </is>
      </c>
      <c r="C15" s="9" t="inlineStr">
        <is>
          <t>S12</t>
        </is>
      </c>
      <c r="D15" s="10" t="inlineStr">
        <is>
          <t>C</t>
        </is>
      </c>
      <c r="E15" s="9" t="inlineStr">
        <is>
          <t>1405/01/01</t>
        </is>
      </c>
      <c r="F15" s="11" t="n">
        <v>53</v>
      </c>
      <c r="G15" s="11" t="n">
        <v>28</v>
      </c>
      <c r="H15" s="10" t="inlineStr">
        <is>
          <t>C</t>
        </is>
      </c>
      <c r="I15" s="9" t="n">
        <v>0</v>
      </c>
      <c r="J15" s="9" t="inlineStr">
        <is>
          <t>نزول به سطح C | غیبت موجه - نمره پایه</t>
        </is>
      </c>
      <c r="K15" s="9" t="inlineStr">
        <is>
          <t>غیبت موجه</t>
        </is>
      </c>
    </row>
    <row r="17">
      <c r="A17" s="13" t="inlineStr">
        <is>
          <t>قوانین سطح‌بندی (قابل تنظیم):</t>
        </is>
      </c>
    </row>
    <row r="18">
      <c r="A18" t="inlineStr">
        <is>
          <t>سطح B: نمره کل هفته ≥ ۷۰ و میانگین انضباط ≥ ۵۰</t>
        </is>
      </c>
    </row>
    <row r="19">
      <c r="A19" t="inlineStr">
        <is>
          <t>سطح C: نمره کل هفته &lt; ۷۰ یا میانگین انضباط &lt; ۵۰</t>
        </is>
      </c>
    </row>
    <row r="20">
      <c r="A20" t="inlineStr">
        <is>
          <t>نکته: سطح‌بندی را می‌توانید در شیت «تنظیمات» تغییر دهید.</t>
        </is>
      </c>
    </row>
    <row r="21">
      <c r="A21" t="inlineStr">
        <is>
          <t>سلول‌های زرد رنگ در شیت ورود اطلاعات، محل ورود دستی معلم هستند.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1" customWidth="1" min="8" max="8"/>
    <col width="12" customWidth="1" min="9" max="9"/>
    <col width="14" customWidth="1" min="10" max="10"/>
    <col width="11" customWidth="1" min="11" max="11"/>
    <col width="12" customWidth="1" min="12" max="12"/>
    <col width="11" customWidth="1" min="13" max="13"/>
    <col width="12" customWidth="1" min="14" max="14"/>
    <col width="12" customWidth="1" min="15" max="15"/>
    <col width="20" customWidth="1" min="16" max="16"/>
  </cols>
  <sheetData>
    <row r="1">
      <c r="A1" s="8" t="inlineStr">
        <is>
          <t>فرم ورود اطلاعات روزانه — فقط سلول‌های زرد را پر کنید (بقیه خودکار محاسبه می‌شود)</t>
        </is>
      </c>
    </row>
    <row r="2">
      <c r="A2" s="14" t="inlineStr">
        <is>
          <t>حداکثر نمرات: خواندنی۱=۴۰ | خواندنی۲=۴۰ | شماره صفحه=۱۰ | شماره آیه=۵ | تشخیص عبارت=۱۰ | ترتیب آیه=۷ | ترتیب صفحه=۸ | اول‌وآخر آیه=۱۰ | شمارشی=۱۰ | جمع کل حداکثر=۱۴۰ | انضباط حداکثر=۶۰</t>
        </is>
      </c>
    </row>
    <row r="4" ht="35" customHeight="1">
      <c r="A4" s="6" t="inlineStr">
        <is>
          <t>تاریخ</t>
        </is>
      </c>
      <c r="B4" s="6" t="inlineStr">
        <is>
          <t>نام دانش‌آموز</t>
        </is>
      </c>
      <c r="C4" s="6" t="inlineStr">
        <is>
          <t>خواندنی۱ (۴۰)</t>
        </is>
      </c>
      <c r="D4" s="6" t="inlineStr">
        <is>
          <t>خواندنی۲ (۴۰)</t>
        </is>
      </c>
      <c r="E4" s="6" t="inlineStr">
        <is>
          <t>شماره صفحه (۱۰)</t>
        </is>
      </c>
      <c r="F4" s="6" t="inlineStr">
        <is>
          <t>شماره آیه (۵)</t>
        </is>
      </c>
      <c r="G4" s="6" t="inlineStr">
        <is>
          <t>تشخیص عبارت (۱۰)</t>
        </is>
      </c>
      <c r="H4" s="6" t="inlineStr">
        <is>
          <t>ترتیب آیه (۷)</t>
        </is>
      </c>
      <c r="I4" s="6" t="inlineStr">
        <is>
          <t>ترتیب صفحه (۸)</t>
        </is>
      </c>
      <c r="J4" s="6" t="inlineStr">
        <is>
          <t>اول و آخر آیه (۱۰)</t>
        </is>
      </c>
      <c r="K4" s="6" t="inlineStr">
        <is>
          <t>شمارشی (۱۰)</t>
        </is>
      </c>
      <c r="L4" s="6" t="inlineStr">
        <is>
          <t>جمع کل (۱۴۰)</t>
        </is>
      </c>
      <c r="M4" s="6" t="inlineStr">
        <is>
          <t>انضباط (۶۰)</t>
        </is>
      </c>
      <c r="N4" s="6" t="inlineStr">
        <is>
          <t>میانگین روز</t>
        </is>
      </c>
      <c r="O4" s="6" t="inlineStr">
        <is>
          <t>حضور</t>
        </is>
      </c>
      <c r="P4" s="6" t="inlineStr">
        <is>
          <t>یادداشت معلم</t>
        </is>
      </c>
    </row>
    <row r="5">
      <c r="A5" s="15" t="inlineStr">
        <is>
          <t>1405/05/24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6">
        <f>IF(COUNTA(C5:K5)=0,"",SUM(C5:K5))</f>
        <v/>
      </c>
      <c r="M5" s="15" t="n"/>
      <c r="N5" s="16">
        <f>IF(OR(L5="",M5=""),"",AVERAGE(L5,M5))</f>
        <v/>
      </c>
      <c r="O5" s="15" t="n"/>
      <c r="P5" s="15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8">
        <f>IF(COUNTA(C6:K6)=0,"",SUM(C6:K6))</f>
        <v/>
      </c>
      <c r="M6" s="17" t="n"/>
      <c r="N6" s="18">
        <f>IF(OR(L6="",M6=""),"",AVERAGE(L6,M6))</f>
        <v/>
      </c>
      <c r="O6" s="17" t="n"/>
      <c r="P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8">
        <f>IF(COUNTA(C7:K7)=0,"",SUM(C7:K7))</f>
        <v/>
      </c>
      <c r="M7" s="17" t="n"/>
      <c r="N7" s="18">
        <f>IF(OR(L7="",M7=""),"",AVERAGE(L7,M7))</f>
        <v/>
      </c>
      <c r="O7" s="17" t="n"/>
      <c r="P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8">
        <f>IF(COUNTA(C8:K8)=0,"",SUM(C8:K8))</f>
        <v/>
      </c>
      <c r="M8" s="17" t="n"/>
      <c r="N8" s="18">
        <f>IF(OR(L8="",M8=""),"",AVERAGE(L8,M8))</f>
        <v/>
      </c>
      <c r="O8" s="17" t="n"/>
      <c r="P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8">
        <f>IF(COUNTA(C9:K9)=0,"",SUM(C9:K9))</f>
        <v/>
      </c>
      <c r="M9" s="17" t="n"/>
      <c r="N9" s="18">
        <f>IF(OR(L9="",M9=""),"",AVERAGE(L9,M9))</f>
        <v/>
      </c>
      <c r="O9" s="17" t="n"/>
      <c r="P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>
        <f>IF(COUNTA(C10:K10)=0,"",SUM(C10:K10))</f>
        <v/>
      </c>
      <c r="M10" s="17" t="n"/>
      <c r="N10" s="18">
        <f>IF(OR(L10="",M10=""),"",AVERAGE(L10,M10))</f>
        <v/>
      </c>
      <c r="O10" s="17" t="n"/>
      <c r="P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8">
        <f>IF(COUNTA(C11:K11)=0,"",SUM(C11:K11))</f>
        <v/>
      </c>
      <c r="M11" s="17" t="n"/>
      <c r="N11" s="18">
        <f>IF(OR(L11="",M11=""),"",AVERAGE(L11,M11))</f>
        <v/>
      </c>
      <c r="O11" s="17" t="n"/>
      <c r="P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8">
        <f>IF(COUNTA(C12:K12)=0,"",SUM(C12:K12))</f>
        <v/>
      </c>
      <c r="M12" s="17" t="n"/>
      <c r="N12" s="18">
        <f>IF(OR(L12="",M12=""),"",AVERAGE(L12,M12))</f>
        <v/>
      </c>
      <c r="O12" s="17" t="n"/>
      <c r="P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8">
        <f>IF(COUNTA(C13:K13)=0,"",SUM(C13:K13))</f>
        <v/>
      </c>
      <c r="M13" s="17" t="n"/>
      <c r="N13" s="18">
        <f>IF(OR(L13="",M13=""),"",AVERAGE(L13,M13))</f>
        <v/>
      </c>
      <c r="O13" s="17" t="n"/>
      <c r="P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8">
        <f>IF(COUNTA(C14:K14)=0,"",SUM(C14:K14))</f>
        <v/>
      </c>
      <c r="M14" s="17" t="n"/>
      <c r="N14" s="18">
        <f>IF(OR(L14="",M14=""),"",AVERAGE(L14,M14))</f>
        <v/>
      </c>
      <c r="O14" s="17" t="n"/>
      <c r="P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>
        <f>IF(COUNTA(C15:K15)=0,"",SUM(C15:K15))</f>
        <v/>
      </c>
      <c r="M15" s="17" t="n"/>
      <c r="N15" s="18">
        <f>IF(OR(L15="",M15=""),"",AVERAGE(L15,M15))</f>
        <v/>
      </c>
      <c r="O15" s="17" t="n"/>
      <c r="P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8">
        <f>IF(COUNTA(C16:K16)=0,"",SUM(C16:K16))</f>
        <v/>
      </c>
      <c r="M16" s="17" t="n"/>
      <c r="N16" s="18">
        <f>IF(OR(L16="",M16=""),"",AVERAGE(L16,M16))</f>
        <v/>
      </c>
      <c r="O16" s="17" t="n"/>
      <c r="P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8">
        <f>IF(COUNTA(C17:K17)=0,"",SUM(C17:K17))</f>
        <v/>
      </c>
      <c r="M17" s="17" t="n"/>
      <c r="N17" s="18">
        <f>IF(OR(L17="",M17=""),"",AVERAGE(L17,M17))</f>
        <v/>
      </c>
      <c r="O17" s="17" t="n"/>
      <c r="P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8">
        <f>IF(COUNTA(C18:K18)=0,"",SUM(C18:K18))</f>
        <v/>
      </c>
      <c r="M18" s="17" t="n"/>
      <c r="N18" s="18">
        <f>IF(OR(L18="",M18=""),"",AVERAGE(L18,M18))</f>
        <v/>
      </c>
      <c r="O18" s="17" t="n"/>
      <c r="P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8">
        <f>IF(COUNTA(C19:K19)=0,"",SUM(C19:K19))</f>
        <v/>
      </c>
      <c r="M19" s="17" t="n"/>
      <c r="N19" s="18">
        <f>IF(OR(L19="",M19=""),"",AVERAGE(L19,M19))</f>
        <v/>
      </c>
      <c r="O19" s="17" t="n"/>
      <c r="P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8">
        <f>IF(COUNTA(C20:K20)=0,"",SUM(C20:K20))</f>
        <v/>
      </c>
      <c r="M20" s="17" t="n"/>
      <c r="N20" s="18">
        <f>IF(OR(L20="",M20=""),"",AVERAGE(L20,M20))</f>
        <v/>
      </c>
      <c r="O20" s="17" t="n"/>
      <c r="P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8">
        <f>IF(COUNTA(C21:K21)=0,"",SUM(C21:K21))</f>
        <v/>
      </c>
      <c r="M21" s="17" t="n"/>
      <c r="N21" s="18">
        <f>IF(OR(L21="",M21=""),"",AVERAGE(L21,M21))</f>
        <v/>
      </c>
      <c r="O21" s="17" t="n"/>
      <c r="P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8">
        <f>IF(COUNTA(C22:K22)=0,"",SUM(C22:K22))</f>
        <v/>
      </c>
      <c r="M22" s="17" t="n"/>
      <c r="N22" s="18">
        <f>IF(OR(L22="",M22=""),"",AVERAGE(L22,M22))</f>
        <v/>
      </c>
      <c r="O22" s="17" t="n"/>
      <c r="P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8">
        <f>IF(COUNTA(C23:K23)=0,"",SUM(C23:K23))</f>
        <v/>
      </c>
      <c r="M23" s="17" t="n"/>
      <c r="N23" s="18">
        <f>IF(OR(L23="",M23=""),"",AVERAGE(L23,M23))</f>
        <v/>
      </c>
      <c r="O23" s="17" t="n"/>
      <c r="P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8">
        <f>IF(COUNTA(C24:K24)=0,"",SUM(C24:K24))</f>
        <v/>
      </c>
      <c r="M24" s="17" t="n"/>
      <c r="N24" s="18">
        <f>IF(OR(L24="",M24=""),"",AVERAGE(L24,M24))</f>
        <v/>
      </c>
      <c r="O24" s="17" t="n"/>
      <c r="P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8">
        <f>IF(COUNTA(C25:K25)=0,"",SUM(C25:K25))</f>
        <v/>
      </c>
      <c r="M25" s="17" t="n"/>
      <c r="N25" s="18">
        <f>IF(OR(L25="",M25=""),"",AVERAGE(L25,M25))</f>
        <v/>
      </c>
      <c r="O25" s="17" t="n"/>
      <c r="P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8">
        <f>IF(COUNTA(C26:K26)=0,"",SUM(C26:K26))</f>
        <v/>
      </c>
      <c r="M26" s="17" t="n"/>
      <c r="N26" s="18">
        <f>IF(OR(L26="",M26=""),"",AVERAGE(L26,M26))</f>
        <v/>
      </c>
      <c r="O26" s="17" t="n"/>
      <c r="P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8">
        <f>IF(COUNTA(C27:K27)=0,"",SUM(C27:K27))</f>
        <v/>
      </c>
      <c r="M27" s="17" t="n"/>
      <c r="N27" s="18">
        <f>IF(OR(L27="",M27=""),"",AVERAGE(L27,M27))</f>
        <v/>
      </c>
      <c r="O27" s="17" t="n"/>
      <c r="P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>
        <f>IF(COUNTA(C28:K28)=0,"",SUM(C28:K28))</f>
        <v/>
      </c>
      <c r="M28" s="17" t="n"/>
      <c r="N28" s="18">
        <f>IF(OR(L28="",M28=""),"",AVERAGE(L28,M28))</f>
        <v/>
      </c>
      <c r="O28" s="17" t="n"/>
      <c r="P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8">
        <f>IF(COUNTA(C29:K29)=0,"",SUM(C29:K29))</f>
        <v/>
      </c>
      <c r="M29" s="17" t="n"/>
      <c r="N29" s="18">
        <f>IF(OR(L29="",M29=""),"",AVERAGE(L29,M29))</f>
        <v/>
      </c>
      <c r="O29" s="17" t="n"/>
      <c r="P29" s="17" t="n"/>
    </row>
    <row r="32">
      <c r="A32" s="19" t="inlineStr">
        <is>
          <t>نکته مهم: پس از وارد کردن نمرات روزانه، برای مشاهده خلاصه هفتگی و تحلیل، به شیت‌های مربوطه مراجعه کنید. داده‌های تاریخی هفته ۱۷ تا ۲۱ در شیت «داده‌های خام» ذخیره شده‌اند.</t>
        </is>
      </c>
    </row>
  </sheetData>
  <mergeCells count="3">
    <mergeCell ref="A1:P1"/>
    <mergeCell ref="A32:P32"/>
    <mergeCell ref="A2:P2"/>
  </mergeCells>
  <dataValidations count="2">
    <dataValidation sqref="B5:B100" showDropDown="0" showInputMessage="0" showErrorMessage="0" allowBlank="1" errorTitle="نام نامعتبر" error="لطفاً نام را از لیست انتخاب کنید" type="list">
      <formula1>"محمد طه زارعیان,محمد طه میرشکار,سیدمحمدطه حسینی,ابوالفضل دهقانیزاده,محمدمهدی زارعیان,بهنام بیک,محمد امین زارع,سیدمصطفی طباطبایی‌نسب,ابوالفضل پورصباغ,بهزاد بیک,محمدرضا زارع بیدکی,سیدعلی حسینی‌مهر"</formula1>
    </dataValidation>
    <dataValidation sqref="O5:O100" showDropDown="0" showInputMessage="0" showErrorMessage="0" allowBlank="1" type="list">
      <formula1>"حاضر,غیبت موجه,غیبت غیرموجه"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rightToLeft="1" workbookViewId="0">
      <selection activeCell="A1" sqref="A1"/>
    </sheetView>
  </sheetViews>
  <sheetFormatPr baseColWidth="8" defaultRowHeight="15"/>
  <sheetData>
    <row r="1">
      <c r="A1" s="20" t="inlineStr">
        <is>
          <t>آرشیو کامل نمرات روزانه (قابل گسترش)</t>
        </is>
      </c>
    </row>
    <row r="3">
      <c r="A3" s="6" t="inlineStr">
        <is>
          <t>تاریخ</t>
        </is>
      </c>
      <c r="B3" s="6" t="inlineStr">
        <is>
          <t>نام دانش‌آموز</t>
        </is>
      </c>
      <c r="C3" s="6" t="inlineStr">
        <is>
          <t>خواندنی۱ (۴۰)</t>
        </is>
      </c>
      <c r="D3" s="6" t="inlineStr">
        <is>
          <t>خواندنی۲ (۴۰)</t>
        </is>
      </c>
      <c r="E3" s="6" t="inlineStr">
        <is>
          <t>شماره صفحه (۱۰)</t>
        </is>
      </c>
      <c r="F3" s="6" t="inlineStr">
        <is>
          <t>شماره آیه (۵)</t>
        </is>
      </c>
      <c r="G3" s="6" t="inlineStr">
        <is>
          <t>تشخیص عبارت (۱۰)</t>
        </is>
      </c>
      <c r="H3" s="6" t="inlineStr">
        <is>
          <t>ترتیب آیه (۷)</t>
        </is>
      </c>
      <c r="I3" s="6" t="inlineStr">
        <is>
          <t>ترتیب صفحه (۸)</t>
        </is>
      </c>
      <c r="J3" s="6" t="inlineStr">
        <is>
          <t>اول و آخر آیه (۱۰)</t>
        </is>
      </c>
      <c r="K3" s="6" t="inlineStr">
        <is>
          <t>شمارشی (۱۰)</t>
        </is>
      </c>
      <c r="L3" s="6" t="inlineStr">
        <is>
          <t>جمع کل (۱۴۰)</t>
        </is>
      </c>
      <c r="M3" s="6" t="inlineStr">
        <is>
          <t>انضباط (۶۰)</t>
        </is>
      </c>
      <c r="N3" s="6" t="inlineStr">
        <is>
          <t>میانگین روز</t>
        </is>
      </c>
      <c r="O3" s="6" t="inlineStr">
        <is>
          <t>حضور</t>
        </is>
      </c>
      <c r="P3" s="6" t="inlineStr">
        <is>
          <t>یادداشت معلم</t>
        </is>
      </c>
      <c r="Q3" s="6" t="inlineStr">
        <is>
          <t>هفته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2026-08-22T16:15:48Z</dcterms:created>
  <dcterms:modified xmlns:dcterms="http://purl.org/dc/terms/" xmlns:xsi="http://www.w3.org/2001/XMLSchema-instance" xsi:type="dcterms:W3CDTF">2026-08-22T16:15:48Z</dcterms:modified>
</cp:coreProperties>
</file>