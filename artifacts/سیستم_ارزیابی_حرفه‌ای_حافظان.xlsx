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اشبورد" sheetId="1" state="visible" r:id="rId3"/>
    <sheet name="دانش‌آموزان" sheetId="2" state="visible" r:id="rId4"/>
    <sheet name="ورود_روزانه" sheetId="3" state="visible" r:id="rId5"/>
    <sheet name="آزمون_هفتگی" sheetId="4" state="visible" r:id="rId6"/>
    <sheet name="خلاصه_هفته" sheetId="5" state="visible" r:id="rId7"/>
    <sheet name="تحلیل_پیشرفته" sheetId="6" state="visible" r:id="rId8"/>
    <sheet name="داده_خام" sheetId="7" state="visible" r:id="rId9"/>
    <sheet name="تنظیمات" sheetId="8" state="visible" r:id="rId10"/>
    <sheet name="راهنما" sheetId="9" state="visible" r:id="rId11"/>
    <sheet name="عملکرد_1" sheetId="10" state="visible" r:id="rId12"/>
    <sheet name="عملکرد_2" sheetId="11" state="visible" r:id="rId13"/>
    <sheet name="عملکرد_3" sheetId="12" state="visible" r:id="rId14"/>
    <sheet name="عملکرد_4" sheetId="13" state="visible" r:id="rId15"/>
    <sheet name="عملکرد_5" sheetId="14" state="visible" r:id="rId16"/>
    <sheet name="عملکرد_6" sheetId="15" state="visible" r:id="rId17"/>
    <sheet name="عملکرد_7" sheetId="16" state="visible" r:id="rId18"/>
    <sheet name="عملکرد_8" sheetId="17" state="visible" r:id="rId19"/>
    <sheet name="عملکرد_9" sheetId="18" state="visible" r:id="rId20"/>
    <sheet name="عملکرد_10" sheetId="19" state="visible" r:id="rId21"/>
    <sheet name="عملکرد_11" sheetId="20" state="visible" r:id="rId22"/>
    <sheet name="عملکرد_12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<sst xmlns="http://schemas.openxmlformats.org/spreadsheetml/2006/main" count="1333" uniqueCount="360">
  <si>
    <t xml:space="preserve">سیستم ارزیابی حرفه‌ای حافظان دارالقرآن</t>
  </si>
  <si>
    <t xml:space="preserve">طرح صبحگاهی | نسخه ۱.۰ | آخرین به‌روزرسانی: ۲۲ مرداد ۱۴۰۵</t>
  </si>
  <si>
    <t xml:space="preserve">تعداد دانش‌آموزان</t>
  </si>
  <si>
    <t xml:space="preserve">میانگین نمره هفته</t>
  </si>
  <si>
    <t xml:space="preserve">میانگین انضباط</t>
  </si>
  <si>
    <t xml:space="preserve">بالاترین نمره</t>
  </si>
  <si>
    <t xml:space="preserve">نیاز به توجه</t>
  </si>
  <si>
    <t xml:space="preserve">مرد اخلاق هفته</t>
  </si>
  <si>
    <t xml:space="preserve">محمد امین زارع</t>
  </si>
  <si>
    <t xml:space="preserve">رتبه‌بندی دانش‌آموزان (بر اساس نمره ارزیابی کل هفته)</t>
  </si>
  <si>
    <t xml:space="preserve">رتبه</t>
  </si>
  <si>
    <t xml:space="preserve">نام و نام‌خانوادگی</t>
  </si>
  <si>
    <t xml:space="preserve">میانگین روزانه</t>
  </si>
  <si>
    <t xml:space="preserve">آزمون شفاهی</t>
  </si>
  <si>
    <t xml:space="preserve">آزمون کتبی</t>
  </si>
  <si>
    <t xml:space="preserve">نمره کل هفته</t>
  </si>
  <si>
    <t xml:space="preserve">وضعیت سطح</t>
  </si>
  <si>
    <t xml:space="preserve">محمد طه میرشکار</t>
  </si>
  <si>
    <r>
      <rPr>
        <sz val="11"/>
        <color theme="1"/>
        <rFont val="Noto Sans"/>
        <family val="2"/>
      </rPr>
      <t xml:space="preserve">ابقاء در سطح </t>
    </r>
    <r>
      <rPr>
        <sz val="11"/>
        <color theme="1"/>
        <rFont val="Calibri"/>
        <family val="2"/>
        <charset val="1"/>
      </rPr>
      <t xml:space="preserve">b</t>
    </r>
  </si>
  <si>
    <t xml:space="preserve">سیدمحمد طه حسینی</t>
  </si>
  <si>
    <r>
      <rPr>
        <sz val="11"/>
        <color theme="1"/>
        <rFont val="Noto Sans"/>
        <family val="2"/>
      </rPr>
      <t xml:space="preserve">ارتقاء به سطح </t>
    </r>
    <r>
      <rPr>
        <sz val="11"/>
        <color theme="1"/>
        <rFont val="Calibri"/>
        <family val="2"/>
        <charset val="1"/>
      </rPr>
      <t xml:space="preserve">b</t>
    </r>
  </si>
  <si>
    <t xml:space="preserve">بهزاد بیک</t>
  </si>
  <si>
    <t xml:space="preserve">ابوالفضل دهقانیزاده</t>
  </si>
  <si>
    <t xml:space="preserve">ابوالفضل پور صباغ</t>
  </si>
  <si>
    <r>
      <rPr>
        <sz val="11"/>
        <color theme="1"/>
        <rFont val="Noto Sans"/>
        <family val="2"/>
      </rPr>
      <t xml:space="preserve">نزول به سطح </t>
    </r>
    <r>
      <rPr>
        <sz val="11"/>
        <color theme="1"/>
        <rFont val="Calibri"/>
        <family val="2"/>
        <charset val="1"/>
      </rPr>
      <t xml:space="preserve">c</t>
    </r>
  </si>
  <si>
    <t xml:space="preserve">سیدمصطفی طباطبایی‌نسب</t>
  </si>
  <si>
    <t xml:space="preserve">بهنام بیک</t>
  </si>
  <si>
    <r>
      <rPr>
        <sz val="11"/>
        <color theme="1"/>
        <rFont val="Noto Sans"/>
        <family val="2"/>
      </rPr>
      <t xml:space="preserve">ابقاء در سطح </t>
    </r>
    <r>
      <rPr>
        <sz val="11"/>
        <color theme="1"/>
        <rFont val="Calibri"/>
        <family val="2"/>
        <charset val="1"/>
      </rPr>
      <t xml:space="preserve">c</t>
    </r>
  </si>
  <si>
    <t xml:space="preserve">محمد طه زارعیان</t>
  </si>
  <si>
    <t xml:space="preserve">محمدمهدی زارعیان</t>
  </si>
  <si>
    <t xml:space="preserve">سیدعلی حسینی‌مهر</t>
  </si>
  <si>
    <t xml:space="preserve">محمدرضا زارع بیدکی</t>
  </si>
  <si>
    <t xml:space="preserve">دسترسی سریع</t>
  </si>
  <si>
    <t xml:space="preserve">← شیت «ورود_روزانه» برای ثبت نمرات روزانه توسط معلم</t>
  </si>
  <si>
    <t xml:space="preserve">← شیت «دانش‌آموزان» برای مشاهده پرونده هر دانش‌آموز</t>
  </si>
  <si>
    <t xml:space="preserve">← شیت «تحلیل_پیشرفته» برای پیشنهادات بهبود عملکرد</t>
  </si>
  <si>
    <t xml:space="preserve">← شیت «خلاصه_هفته» برای گزارش هفتگی</t>
  </si>
  <si>
    <t xml:space="preserve">← شیت «راهنما» برای نحوه استفاده کامل</t>
  </si>
  <si>
    <t xml:space="preserve">نکته: تمام محاسبات خودکار است. فقط در شیت‌های «ورود_روزانه» و «آزمون_هفتگی» داده‌ها را وارد کنید (سلول‌های زرد).</t>
  </si>
  <si>
    <t xml:space="preserve">پرونده دانش‌آموزان حافظ</t>
  </si>
  <si>
    <t xml:space="preserve">برای مشاهده جزئیات کامل هر دانش‌آموز به شیت «عملکرد_X» مربوطه مراجعه کنید</t>
  </si>
  <si>
    <t xml:space="preserve">ردیف</t>
  </si>
  <si>
    <t xml:space="preserve">سطح فعلی</t>
  </si>
  <si>
    <t xml:space="preserve">نمره هفته اخیر</t>
  </si>
  <si>
    <t xml:space="preserve">امتیازات ویژه</t>
  </si>
  <si>
    <t xml:space="preserve">توضیحات</t>
  </si>
  <si>
    <t xml:space="preserve">شیت عملکرد</t>
  </si>
  <si>
    <t xml:space="preserve">C ↓</t>
  </si>
  <si>
    <t xml:space="preserve">500 امتیاز هفته پیش</t>
  </si>
  <si>
    <t xml:space="preserve">نزول به سطح c</t>
  </si>
  <si>
    <t xml:space="preserve">عملکرد_1</t>
  </si>
  <si>
    <t xml:space="preserve">B</t>
  </si>
  <si>
    <t xml:space="preserve">بدون امتیاز</t>
  </si>
  <si>
    <t xml:space="preserve">ابقاء در سطح b</t>
  </si>
  <si>
    <t xml:space="preserve">عملکرد_2</t>
  </si>
  <si>
    <t xml:space="preserve">B ↑</t>
  </si>
  <si>
    <t xml:space="preserve">ارتقاء به سطح b</t>
  </si>
  <si>
    <t xml:space="preserve">عملکرد_3</t>
  </si>
  <si>
    <t xml:space="preserve">750 امتیاز نقره ای دو هفته پیش</t>
  </si>
  <si>
    <t xml:space="preserve">عملکرد_4</t>
  </si>
  <si>
    <t xml:space="preserve">عملکرد_5</t>
  </si>
  <si>
    <t xml:space="preserve">C</t>
  </si>
  <si>
    <t xml:space="preserve">ابقاء در سطح c</t>
  </si>
  <si>
    <t xml:space="preserve">عملکرد_6</t>
  </si>
  <si>
    <t xml:space="preserve">2000 امتیاز، مرد اخلاق این هفته و هفته پیش</t>
  </si>
  <si>
    <t xml:space="preserve">عملکرد_7</t>
  </si>
  <si>
    <t xml:space="preserve">عملکرد_8</t>
  </si>
  <si>
    <t xml:space="preserve">عملکرد_9</t>
  </si>
  <si>
    <t xml:space="preserve">750 امتیاز کارت نقره ای دو هفته پیش</t>
  </si>
  <si>
    <t xml:space="preserve">عملکرد_10</t>
  </si>
  <si>
    <t xml:space="preserve">عملکرد_11</t>
  </si>
  <si>
    <t xml:space="preserve">عملکرد_12</t>
  </si>
  <si>
    <t xml:space="preserve">فرم ورود اطلاعات روزانه توسط معلم</t>
  </si>
  <si>
    <t xml:space="preserve">سلول‌های زردرنگ را پر کنید. بقیه محاسبات خودکار است. حداکثر: خواندنی۱=۴۰ | خواندنی۲=۴۰ | شماره صفحه=۱۰ | شماره آیه=۵ | تشخیص عبارت=۱۰ | ترتیب آیه=۷ | ترتیب صفحه=۸ | اول و آخر آیه=۱۰ | شمارشی=۱۰ | انضباط=۶۰</t>
  </si>
  <si>
    <t xml:space="preserve">تاریخ جلسه:</t>
  </si>
  <si>
    <t xml:space="preserve">1405/5/17</t>
  </si>
  <si>
    <t xml:space="preserve">← تاریخ را تغییر دهید و نمرات را وارد کنید (نمونه: داده روز اول هفته پر شده)</t>
  </si>
  <si>
    <t xml:space="preserve">نام دانش‌آموز</t>
  </si>
  <si>
    <t xml:space="preserve">خواندنی1
(۴۰)</t>
  </si>
  <si>
    <t xml:space="preserve">خواندنی2
(۴۰)</t>
  </si>
  <si>
    <t xml:space="preserve">شماره صفحه
(۱۰)</t>
  </si>
  <si>
    <t xml:space="preserve">شماره آیه
(۵)</t>
  </si>
  <si>
    <t xml:space="preserve">تشخیص عبارت
(۱۰)</t>
  </si>
  <si>
    <t xml:space="preserve">ترتیب آیه
(۷)</t>
  </si>
  <si>
    <t xml:space="preserve">ترتیب صفحه
(۸)</t>
  </si>
  <si>
    <t xml:space="preserve">اول و آخر آیه
(۱۰)</t>
  </si>
  <si>
    <t xml:space="preserve">شمارشی
(۱۰)</t>
  </si>
  <si>
    <t xml:space="preserve">جمع کل
(۱۴۰)</t>
  </si>
  <si>
    <t xml:space="preserve">انضباط
(۶۰)</t>
  </si>
  <si>
    <t xml:space="preserve">میانگین روز</t>
  </si>
  <si>
    <t xml:space="preserve">دستورالعمل ورود داده:</t>
  </si>
  <si>
    <t xml:space="preserve">۱. تاریخ جلسه را در سلول B4 وارد کنید.</t>
  </si>
  <si>
    <t xml:space="preserve">۲. نمرات هر بخش را در سلول‌های زرد رنگ وارد کنید (فقط اعداد).</t>
  </si>
  <si>
    <t xml:space="preserve">۳. انضباط را از ۰ تا ۶۰ وارد کنید.</t>
  </si>
  <si>
    <t xml:space="preserve">۴. جمع کل و میانگین روز به‌صورت خودکار محاسبه می‌شود.</t>
  </si>
  <si>
    <t xml:space="preserve">۵. پس از اتمام، ردیف‌های مربوطه را به شیت «داده_خام» کپی کنید تا تاریخچه حفظ شود.</t>
  </si>
  <si>
    <t xml:space="preserve">۶. برای آزمون پایان هفته به شیت «آزمون_هفتگی» بروید.</t>
  </si>
  <si>
    <t xml:space="preserve">ثبت نتایج آزمون شفاهی و کتبی پایان هفته</t>
  </si>
  <si>
    <t xml:space="preserve">سلول‌های زرد را پر کنید. نمرات از ۵۰ محاسبه می‌شود.</t>
  </si>
  <si>
    <r>
      <rPr>
        <sz val="11"/>
        <color theme="1"/>
        <rFont val="Noto Sans"/>
        <family val="2"/>
      </rPr>
      <t xml:space="preserve">تاریخ ارزیابی</t>
    </r>
    <r>
      <rPr>
        <sz val="11"/>
        <color theme="1"/>
        <rFont val="Calibri"/>
        <family val="2"/>
        <charset val="1"/>
      </rPr>
      <t xml:space="preserve">:</t>
    </r>
  </si>
  <si>
    <t xml:space="preserve">1405/5/22</t>
  </si>
  <si>
    <t xml:space="preserve">آزمون شفاهی (از ۵۰)</t>
  </si>
  <si>
    <t xml:space="preserve">آزمون کتبی (از ۵۰)</t>
  </si>
  <si>
    <t xml:space="preserve">جمع آزمون‌ها (از ۱۰۰)</t>
  </si>
  <si>
    <t xml:space="preserve">میانگین انضباط هفته</t>
  </si>
  <si>
    <t xml:space="preserve">توضیحات / سطح</t>
  </si>
  <si>
    <t xml:space="preserve">خلاصه ارزیابی هفتگی — تاریخ ارزیابی: ۲۲/۵/۱۴۰۵</t>
  </si>
  <si>
    <t xml:space="preserve">جمع آزمون‌ها</t>
  </si>
  <si>
    <t xml:space="preserve">نمره ارزیابی کل</t>
  </si>
  <si>
    <t xml:space="preserve">امتیازات / توضیحات</t>
  </si>
  <si>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"/>
        <family val="2"/>
      </rPr>
      <t xml:space="preserve">امتیاز هفته پیش</t>
    </r>
  </si>
  <si>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Noto Sans"/>
        <family val="2"/>
      </rPr>
      <t xml:space="preserve">امتیاز نقره ای دو هفته پیش</t>
    </r>
  </si>
  <si>
    <r>
      <rPr>
        <sz val="11"/>
        <color theme="1"/>
        <rFont val="Calibri"/>
        <family val="2"/>
        <charset val="1"/>
      </rPr>
      <t xml:space="preserve">2000 </t>
    </r>
    <r>
      <rPr>
        <sz val="11"/>
        <color theme="1"/>
        <rFont val="Noto Sans"/>
        <family val="2"/>
      </rPr>
      <t xml:space="preserve">امتیاز، مرد اخلاق این هفته و هفته پیش</t>
    </r>
  </si>
  <si>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Noto Sans"/>
        <family val="2"/>
      </rPr>
      <t xml:space="preserve">امتیاز کارت نقره ای دو هفته پیش</t>
    </r>
  </si>
  <si>
    <t xml:space="preserve">میانگین کلاس</t>
  </si>
  <si>
    <t xml:space="preserve">تحلیل پیشرفته عملکرد کلاس و پیشنهادات</t>
  </si>
  <si>
    <t xml:space="preserve">بر اساس میانگین درصد کسب‌شده در هر مهارت، نقاط ضعف و قوت مشخص شده است.</t>
  </si>
  <si>
    <t xml:space="preserve">تحلیل مهارت‌های کلاس (میانگین درصد کسب‌شده)</t>
  </si>
  <si>
    <t xml:space="preserve">مهارت</t>
  </si>
  <si>
    <t xml:space="preserve">میانگین کلاس %</t>
  </si>
  <si>
    <t xml:space="preserve">حداکثر نمره</t>
  </si>
  <si>
    <t xml:space="preserve">وضعیت</t>
  </si>
  <si>
    <t xml:space="preserve">پیشنهاد کلی</t>
  </si>
  <si>
    <r>
      <rPr>
        <sz val="11"/>
        <color theme="1"/>
        <rFont val="Noto Sans"/>
        <family val="2"/>
      </rPr>
      <t xml:space="preserve">خواندنی</t>
    </r>
    <r>
      <rPr>
        <sz val="11"/>
        <color theme="1"/>
        <rFont val="Calibri"/>
        <family val="2"/>
        <charset val="1"/>
      </rPr>
      <t xml:space="preserve">1</t>
    </r>
  </si>
  <si>
    <t xml:space="preserve">متوسط</t>
  </si>
  <si>
    <t xml:space="preserve">تمرین تلاوت و حفظ آیات جدید با تکرار بیشتر</t>
  </si>
  <si>
    <r>
      <rPr>
        <sz val="11"/>
        <color theme="1"/>
        <rFont val="Noto Sans"/>
        <family val="2"/>
      </rPr>
      <t xml:space="preserve">خواندنی</t>
    </r>
    <r>
      <rPr>
        <sz val="11"/>
        <color theme="1"/>
        <rFont val="Calibri"/>
        <family val="2"/>
        <charset val="1"/>
      </rPr>
      <t xml:space="preserve">2</t>
    </r>
  </si>
  <si>
    <t xml:space="preserve">تمرین مرور محفوظات قبلی و سرعت خواندن</t>
  </si>
  <si>
    <t xml:space="preserve">شماره صفحه</t>
  </si>
  <si>
    <t xml:space="preserve">تمرین تشخیص شماره صفحه با استفاده از مصحف</t>
  </si>
  <si>
    <t xml:space="preserve">شماره آیه</t>
  </si>
  <si>
    <t xml:space="preserve">تمرین یافتن آیه با شماره تصادفی</t>
  </si>
  <si>
    <t xml:space="preserve">تشخیص عبارت</t>
  </si>
  <si>
    <t xml:space="preserve">نیاز به توجه ✗</t>
  </si>
  <si>
    <t xml:space="preserve">تمرین تشخیص عبارات مشابه و متشابهات</t>
  </si>
  <si>
    <t xml:space="preserve">ترتیب آیه</t>
  </si>
  <si>
    <t xml:space="preserve">تمرین ترتیب آیات در سوره</t>
  </si>
  <si>
    <t xml:space="preserve">ترتیب صفحه</t>
  </si>
  <si>
    <t xml:space="preserve">تمرین ترتیب صفحات و ارتباط آن‌ها</t>
  </si>
  <si>
    <t xml:space="preserve">اول و آخر آیه</t>
  </si>
  <si>
    <t xml:space="preserve">تمرین به خاطر سپردن ابتدا و انتهای آیات</t>
  </si>
  <si>
    <t xml:space="preserve">شمارشی</t>
  </si>
  <si>
    <t xml:space="preserve">تمرین شمارش آیات و کلمات کلیدی</t>
  </si>
  <si>
    <t xml:space="preserve">پیشنهاد تمرکز هفتگی برای هر دانش‌آموز</t>
  </si>
  <si>
    <t xml:space="preserve">نام</t>
  </si>
  <si>
    <t xml:space="preserve">اولویت ۱ (ضعیف‌ترین)</t>
  </si>
  <si>
    <t xml:space="preserve">اولویت ۲</t>
  </si>
  <si>
    <t xml:space="preserve">اولویت ۳</t>
  </si>
  <si>
    <t xml:space="preserve">نقطه قوت اصلی</t>
  </si>
  <si>
    <t xml:space="preserve">اول و آخر آیه (20%)</t>
  </si>
  <si>
    <t xml:space="preserve">شماره صفحه (30%)</t>
  </si>
  <si>
    <t xml:space="preserve">ترتیب آیه (42%)</t>
  </si>
  <si>
    <t xml:space="preserve">شماره آیه (80%)</t>
  </si>
  <si>
    <t xml:space="preserve">تشخیص عبارت (30%)</t>
  </si>
  <si>
    <t xml:space="preserve">شمارشی (30%)</t>
  </si>
  <si>
    <t xml:space="preserve">اول و آخر آیه (44%)</t>
  </si>
  <si>
    <t xml:space="preserve">ترتیب آیه (82%)</t>
  </si>
  <si>
    <t xml:space="preserve">تشخیص عبارت (20%)</t>
  </si>
  <si>
    <t xml:space="preserve">شمارشی (54%)</t>
  </si>
  <si>
    <t xml:space="preserve">خواندنی1 (93%)</t>
  </si>
  <si>
    <t xml:space="preserve">تشخیص عبارت (40%)</t>
  </si>
  <si>
    <t xml:space="preserve">اول و آخر آیه (40%)</t>
  </si>
  <si>
    <t xml:space="preserve">شماره صفحه (60%)</t>
  </si>
  <si>
    <t xml:space="preserve">ترتیب صفحه (90%)</t>
  </si>
  <si>
    <t xml:space="preserve">شماره آیه (20%)</t>
  </si>
  <si>
    <t xml:space="preserve">ترتیب آیه (28%)</t>
  </si>
  <si>
    <t xml:space="preserve">شمارشی (70%)</t>
  </si>
  <si>
    <t xml:space="preserve">شمارشی (40%)</t>
  </si>
  <si>
    <t xml:space="preserve">شماره آیه (50%)</t>
  </si>
  <si>
    <t xml:space="preserve">اول و آخر آیه (50%)</t>
  </si>
  <si>
    <t xml:space="preserve">شماره صفحه (75%)</t>
  </si>
  <si>
    <t xml:space="preserve">خواندنی2 (96%)</t>
  </si>
  <si>
    <t xml:space="preserve">تشخیص عبارت (10%)</t>
  </si>
  <si>
    <t xml:space="preserve">شماره آیه (30%)</t>
  </si>
  <si>
    <t xml:space="preserve">ترتیب آیه (32%)</t>
  </si>
  <si>
    <t xml:space="preserve">ترتیب صفحه (80%)</t>
  </si>
  <si>
    <t xml:space="preserve">شماره آیه (40%)</t>
  </si>
  <si>
    <t xml:space="preserve">ترتیب صفحه (50%)</t>
  </si>
  <si>
    <t xml:space="preserve">شماره صفحه (70%)</t>
  </si>
  <si>
    <t xml:space="preserve">خواندنی2 (59%)</t>
  </si>
  <si>
    <t xml:space="preserve">ترتیب آیه (60%)</t>
  </si>
  <si>
    <t xml:space="preserve">شمارشی (65%)</t>
  </si>
  <si>
    <t xml:space="preserve">شماره صفحه (50%)</t>
  </si>
  <si>
    <t xml:space="preserve">خواندنی1 (52%)</t>
  </si>
  <si>
    <t xml:space="preserve">شمارشی (60%)</t>
  </si>
  <si>
    <t xml:space="preserve">خواندنی1 (40%)</t>
  </si>
  <si>
    <t xml:space="preserve">نکته: این پیشنهادات بر اساس داده‌های هفته اخیر است. با ورود داده‌های هفته‌های بعد، تحلیل را به‌روز کنید.</t>
  </si>
  <si>
    <t xml:space="preserve">آرشیو کامل داده‌های روزانه (تمام جلسات)</t>
  </si>
  <si>
    <t xml:space="preserve">این شیت منبع اصلی داده‌هاست. داده‌های جدید را در انتهای جدول اضافه کنید.</t>
  </si>
  <si>
    <t xml:space="preserve">شناسه</t>
  </si>
  <si>
    <t xml:space="preserve">تاریخ</t>
  </si>
  <si>
    <t xml:space="preserve">خواندنی1</t>
  </si>
  <si>
    <t xml:space="preserve">خواندنی2</t>
  </si>
  <si>
    <t xml:space="preserve">جمع کل</t>
  </si>
  <si>
    <t xml:space="preserve">انضباط</t>
  </si>
  <si>
    <t xml:space="preserve">هفته</t>
  </si>
  <si>
    <t xml:space="preserve">هفته ۱ (۱۷-۲۱ مرداد)</t>
  </si>
  <si>
    <t xml:space="preserve">1405/5/18</t>
  </si>
  <si>
    <t xml:space="preserve">1405/5/19</t>
  </si>
  <si>
    <t xml:space="preserve">1405/5/20</t>
  </si>
  <si>
    <t xml:space="preserve">1405/5/21</t>
  </si>
  <si>
    <t xml:space="preserve">تنظیمات سیستم و حداکثر نمرات</t>
  </si>
  <si>
    <t xml:space="preserve">حداکثر نمرات هر بخش (قابل تغییر — سلول‌های زرد)</t>
  </si>
  <si>
    <t xml:space="preserve">بخش</t>
  </si>
  <si>
    <t xml:space="preserve">پس از تغییر حداکثرها، درصدها در شیت‌های عملکرد و تحلیل را بررسی/به‌روز کنید.</t>
  </si>
  <si>
    <t xml:space="preserve">راهنمای استفاده از سیستم ارزیابی حافظان</t>
  </si>
  <si>
    <t xml:space="preserve">ساختار فایل</t>
  </si>
  <si>
    <t xml:space="preserve">۱. داشبورد</t>
  </si>
  <si>
    <t xml:space="preserve">نمای کلی کلاس، رتبه‌بندی، KPIها و دسترسی سریع.</t>
  </si>
  <si>
    <t xml:space="preserve">۲. دانش‌آموزان</t>
  </si>
  <si>
    <t xml:space="preserve">لیست دانش‌آموزان با خلاصه وضعیت و لینک به پرونده تفصیلی.</t>
  </si>
  <si>
    <t xml:space="preserve">۳. ورود_روزانه</t>
  </si>
  <si>
    <t xml:space="preserve">فرم اصلی معلم برای ثبت نمرات هر جلسه (سلول‌های زرد).</t>
  </si>
  <si>
    <t xml:space="preserve">۴. آزمون_هفتگی</t>
  </si>
  <si>
    <t xml:space="preserve">ثبت نمرات آزمون شفاهی و کتبی پایان هفته.</t>
  </si>
  <si>
    <t xml:space="preserve">۵. داده_خام</t>
  </si>
  <si>
    <t xml:space="preserve">آرشیو تمام جلسات — منبع نمودارها و تاریخچه.</t>
  </si>
  <si>
    <t xml:space="preserve">۶. خلاصه_هفته</t>
  </si>
  <si>
    <t xml:space="preserve">گزارش جمع‌بندی هفته با نمرات نهایی.</t>
  </si>
  <si>
    <t xml:space="preserve">۷. عملکرد_۱ تا ۱۲</t>
  </si>
  <si>
    <t xml:space="preserve">پرونده اختصاصی هر دانش‌آموز + نمودار + پیشنهاد شخصی.</t>
  </si>
  <si>
    <t xml:space="preserve">۸. تحلیل_پیشرفته</t>
  </si>
  <si>
    <t xml:space="preserve">تحلیل مهارت‌های کلاس و اولویت تمرین هر دانش‌آموز.</t>
  </si>
  <si>
    <t xml:space="preserve">۹. تنظیمات</t>
  </si>
  <si>
    <t xml:space="preserve">حداکثر نمرات هر بخش (قابل تغییر).</t>
  </si>
  <si>
    <t xml:space="preserve">نحوه کار روزانه</t>
  </si>
  <si>
    <t xml:space="preserve">گام ۱</t>
  </si>
  <si>
    <t xml:space="preserve">در شیت ورود_روزانه تاریخ را وارد کنید.</t>
  </si>
  <si>
    <t xml:space="preserve">گام ۲</t>
  </si>
  <si>
    <t xml:space="preserve">نمرات ۹ بخش + انضباط را در سلول‌های زرد وارد کنید.</t>
  </si>
  <si>
    <t xml:space="preserve">گام ۳</t>
  </si>
  <si>
    <t xml:space="preserve">جمع کل و میانگین روز خودکار محاسبه می‌شود.</t>
  </si>
  <si>
    <t xml:space="preserve">گام ۴</t>
  </si>
  <si>
    <t xml:space="preserve">در پایان هفته نمرات شفاهی/کتبی را در آزمون_هفتگی وارد کنید.</t>
  </si>
  <si>
    <t xml:space="preserve">گام ۵</t>
  </si>
  <si>
    <t xml:space="preserve">داده‌های روز را به داده_خام اضافه کنید.</t>
  </si>
  <si>
    <t xml:space="preserve">سیستم نمره‌دهی</t>
  </si>
  <si>
    <t xml:space="preserve">خواندنی ۱ و ۲</t>
  </si>
  <si>
    <t xml:space="preserve">هر کدام حداکثر ۴۰ (مجموع ۸۰)</t>
  </si>
  <si>
    <t xml:space="preserve">شماره صفحه / آیه</t>
  </si>
  <si>
    <t xml:space="preserve">۱۰ و ۵</t>
  </si>
  <si>
    <t xml:space="preserve">تشخیص عبارت / شمارشی</t>
  </si>
  <si>
    <t xml:space="preserve">هر کدام ۱۰</t>
  </si>
  <si>
    <t xml:space="preserve">ترتیب آیه / صفحه</t>
  </si>
  <si>
    <t xml:space="preserve">۷ و ۸</t>
  </si>
  <si>
    <t xml:space="preserve">۱۰</t>
  </si>
  <si>
    <t xml:space="preserve">جمع مهارت‌ها</t>
  </si>
  <si>
    <t xml:space="preserve">حداکثر ۱۴۰</t>
  </si>
  <si>
    <t xml:space="preserve">حداکثر ۶۰</t>
  </si>
  <si>
    <t xml:space="preserve">میانگین (جمع مهارت‌ها + انضباط)</t>
  </si>
  <si>
    <t xml:space="preserve">نکات مهم</t>
  </si>
  <si>
    <t xml:space="preserve">•</t>
  </si>
  <si>
    <t xml:space="preserve">فقط سلول‌های زرد را ویرایش کنید (ورودی دستی = آبی).</t>
  </si>
  <si>
    <t xml:space="preserve">فرمول‌ها خودکار هستند و نباید دستی تغییر کنند.</t>
  </si>
  <si>
    <t xml:space="preserve">می‌توانید عکس دانش‌آموز را در شیت عملکرد او درج کنید.</t>
  </si>
  <si>
    <t xml:space="preserve">این سیستم قابل گسترش به کلاس‌ها و شهرهای دیگر است.</t>
  </si>
  <si>
    <t xml:space="preserve">پرونده عملکرد: محمد طه زارعیان</t>
  </si>
  <si>
    <t xml:space="preserve">سطح فعلی: نزول به سطح c  |  امتیازات: 500 امتیاز هفته پیش</t>
  </si>
  <si>
    <t xml:space="preserve">خلاصه عملکرد هفته اخیر</t>
  </si>
  <si>
    <t xml:space="preserve">جزئیات نمرات روزانه</t>
  </si>
  <si>
    <t xml:space="preserve">میانگین بخش‌ها</t>
  </si>
  <si>
    <t xml:space="preserve">درصد از حداکثر</t>
  </si>
  <si>
    <t xml:space="preserve">68%</t>
  </si>
  <si>
    <t xml:space="preserve">74%</t>
  </si>
  <si>
    <t xml:space="preserve">30%</t>
  </si>
  <si>
    <t xml:space="preserve">80%</t>
  </si>
  <si>
    <t xml:space="preserve">60%</t>
  </si>
  <si>
    <t xml:space="preserve">43%</t>
  </si>
  <si>
    <t xml:space="preserve">45%</t>
  </si>
  <si>
    <t xml:space="preserve">20%</t>
  </si>
  <si>
    <t xml:space="preserve">50%</t>
  </si>
  <si>
    <t xml:space="preserve">تحلیل و پیشنهادات بهبود</t>
  </si>
  <si>
    <t xml:space="preserve">نقاط قوت:</t>
  </si>
  <si>
    <t xml:space="preserve">شماره آیه (80%) | خواندنی2 (74%)</t>
  </si>
  <si>
    <t xml:space="preserve">نیاز به تمرین بیشتر:</t>
  </si>
  <si>
    <t xml:space="preserve">اول و آخر آیه (20%) | شماره صفحه (30%) | ترتیب آیه (43%)</t>
  </si>
  <si>
    <t xml:space="preserve">پیشنهاد: در هفته‌های آینده تمرکز بیشتری روی «اول و آخر آیه»، «شماره صفحه» و «ترتیب آیه» داشته باشید. تمرین خواندنی‌ها اولویت اصلی است. </t>
  </si>
  <si>
    <t xml:space="preserve">داده نمودار درصد بخش‌ها</t>
  </si>
  <si>
    <t xml:space="preserve">روند میانگین روزانه</t>
  </si>
  <si>
    <t xml:space="preserve">/5/17</t>
  </si>
  <si>
    <t xml:space="preserve">/5/18</t>
  </si>
  <si>
    <t xml:space="preserve">/5/19</t>
  </si>
  <si>
    <t xml:space="preserve">/5/20</t>
  </si>
  <si>
    <t xml:space="preserve">/5/21</t>
  </si>
  <si>
    <t xml:space="preserve">پرونده عملکرد: محمد طه میرشکار</t>
  </si>
  <si>
    <t xml:space="preserve">سطح فعلی: ابقاء در سطح b  |  امتیازات: بدون امتیاز</t>
  </si>
  <si>
    <t xml:space="preserve">82%</t>
  </si>
  <si>
    <t xml:space="preserve">76%</t>
  </si>
  <si>
    <t xml:space="preserve">70%</t>
  </si>
  <si>
    <t xml:space="preserve">83%</t>
  </si>
  <si>
    <t xml:space="preserve">44%</t>
  </si>
  <si>
    <t xml:space="preserve">ترتیب آیه (83%) | خواندنی1 (82%)</t>
  </si>
  <si>
    <t xml:space="preserve">تشخیص عبارت (30%) | شمارشی (30%) | اول و آخر آیه (44%)</t>
  </si>
  <si>
    <t xml:space="preserve">پیشنهاد: در هفته‌های آینده تمرکز بیشتری روی «تشخیص عبارت»، «شمارشی» و «اول و آخر آیه» داشته باشید. </t>
  </si>
  <si>
    <t xml:space="preserve">پرونده عملکرد: سیدمحمد طه حسینی</t>
  </si>
  <si>
    <t xml:space="preserve">سطح فعلی: ارتقاء به سطح b  |  امتیازات: بدون امتیاز</t>
  </si>
  <si>
    <t xml:space="preserve">93%</t>
  </si>
  <si>
    <t xml:space="preserve">75%</t>
  </si>
  <si>
    <t xml:space="preserve">90%</t>
  </si>
  <si>
    <t xml:space="preserve">86%</t>
  </si>
  <si>
    <t xml:space="preserve">54%</t>
  </si>
  <si>
    <t xml:space="preserve">خواندنی1 (93%) | شماره آیه (90%)</t>
  </si>
  <si>
    <t xml:space="preserve">تشخیص عبارت (20%) | اول و آخر آیه (20%) | شمارشی (54%)</t>
  </si>
  <si>
    <t xml:space="preserve">پیشنهاد: در هفته‌های آینده تمرکز بیشتری روی «تشخیص عبارت»، «اول و آخر آیه» و «شمارشی» داشته باشید. </t>
  </si>
  <si>
    <t xml:space="preserve">پرونده عملکرد: ابوالفضل دهقانیزاده</t>
  </si>
  <si>
    <t xml:space="preserve">سطح فعلی: ابقاء در سطح b  |  امتیازات: 750 امتیاز نقره ای دو هفته پیش</t>
  </si>
  <si>
    <t xml:space="preserve">62%</t>
  </si>
  <si>
    <t xml:space="preserve">40%</t>
  </si>
  <si>
    <t xml:space="preserve">63%</t>
  </si>
  <si>
    <t xml:space="preserve">ترتیب صفحه (90%) | خواندنی1 (82%)</t>
  </si>
  <si>
    <t xml:space="preserve">تشخیص عبارت (40%) | اول و آخر آیه (40%) | شماره صفحه (60%)</t>
  </si>
  <si>
    <t xml:space="preserve">پیشنهاد: در هفته‌های آینده تمرکز بیشتری روی «تشخیص عبارت»، «اول و آخر آیه» و «شماره صفحه» داشته باشید. تمرین خواندنی‌ها اولویت اصلی است. </t>
  </si>
  <si>
    <t xml:space="preserve">پرونده عملکرد: محمدمهدی زارعیان</t>
  </si>
  <si>
    <t xml:space="preserve">سطح فعلی: نزول به سطح c  |  امتیازات: بدون امتیاز</t>
  </si>
  <si>
    <t xml:space="preserve">58%</t>
  </si>
  <si>
    <t xml:space="preserve">29%</t>
  </si>
  <si>
    <t xml:space="preserve">ترتیب صفحه (70%) | شمارشی (70%)</t>
  </si>
  <si>
    <t xml:space="preserve">شماره آیه (20%) | ترتیب آیه (29%) | شماره صفحه (30%)</t>
  </si>
  <si>
    <t xml:space="preserve">پیشنهاد: در هفته‌های آینده تمرکز بیشتری روی «شماره آیه»، «ترتیب آیه» و «شماره صفحه» داشته باشید. تمرین خواندنی‌ها اولویت اصلی است. </t>
  </si>
  <si>
    <t xml:space="preserve">پرونده عملکرد: بهنام بیک</t>
  </si>
  <si>
    <t xml:space="preserve">سطح فعلی: ابقاء در سطح c  |  امتیازات: بدون امتیاز</t>
  </si>
  <si>
    <t xml:space="preserve">66%</t>
  </si>
  <si>
    <t xml:space="preserve">شماره صفحه (75%) | خواندنی1 (70%)</t>
  </si>
  <si>
    <t xml:space="preserve">شمارشی (40%) | شماره آیه (50%) | اول و آخر آیه (50%)</t>
  </si>
  <si>
    <t xml:space="preserve">پیشنهاد: در هفته‌های آینده تمرکز بیشتری روی «شمارشی»، «شماره آیه» و «اول و آخر آیه» داشته باشید. </t>
  </si>
  <si>
    <t xml:space="preserve">پرونده عملکرد: محمد امین زارع</t>
  </si>
  <si>
    <t xml:space="preserve">سطح فعلی: ابقاء در سطح b  |  امتیازات: 2000 امتیاز، مرد اخلاق این هفته و هفته پیش</t>
  </si>
  <si>
    <t xml:space="preserve">97%</t>
  </si>
  <si>
    <t xml:space="preserve">52%</t>
  </si>
  <si>
    <t xml:space="preserve">خواندنی2 (97%) | خواندنی1 (76%)</t>
  </si>
  <si>
    <t xml:space="preserve">شماره صفحه (30%) | تشخیص عبارت (30%) | اول و آخر آیه (40%)</t>
  </si>
  <si>
    <t xml:space="preserve">پیشنهاد: در هفته‌های آینده تمرکز بیشتری روی «شماره صفحه»، «تشخیص عبارت» و «اول و آخر آیه» داشته باشید. </t>
  </si>
  <si>
    <t xml:space="preserve">پرونده عملکرد: سیدمصطفی طباطبایی‌نسب</t>
  </si>
  <si>
    <t xml:space="preserve">72%</t>
  </si>
  <si>
    <t xml:space="preserve">10%</t>
  </si>
  <si>
    <t xml:space="preserve">33%</t>
  </si>
  <si>
    <t xml:space="preserve">ترتیب صفحه (80%) | خواندنی1 (72%)</t>
  </si>
  <si>
    <t xml:space="preserve">تشخیص عبارت (10%) | شماره آیه (30%) | ترتیب آیه (33%)</t>
  </si>
  <si>
    <t xml:space="preserve">پیشنهاد: در هفته‌های آینده تمرکز بیشتری روی «تشخیص عبارت»، «شماره آیه» و «ترتیب آیه» داشته باشید. تمرین خواندنی‌ها اولویت اصلی است. </t>
  </si>
  <si>
    <t xml:space="preserve">پرونده عملکرد: ابوالفضل پور صباغ</t>
  </si>
  <si>
    <t xml:space="preserve">خواندنی1 (70%) | شماره صفحه (70%)</t>
  </si>
  <si>
    <t xml:space="preserve">شماره آیه (40%) | تشخیص عبارت (40%) | ترتیب صفحه (50%)</t>
  </si>
  <si>
    <t xml:space="preserve">پیشنهاد: در هفته‌های آینده تمرکز بیشتری روی «شماره آیه»، «تشخیص عبارت» و «ترتیب صفحه» داشته باشید. تمرین خواندنی‌ها اولویت اصلی است. </t>
  </si>
  <si>
    <t xml:space="preserve">پرونده عملکرد: بهزاد بیک</t>
  </si>
  <si>
    <t xml:space="preserve">سطح فعلی: ابقاء در سطح b  |  امتیازات: 750 امتیاز کارت نقره ای دو هفته پیش</t>
  </si>
  <si>
    <t xml:space="preserve">65%</t>
  </si>
  <si>
    <t xml:space="preserve">شماره صفحه (80%) | شماره آیه (80%)</t>
  </si>
  <si>
    <t xml:space="preserve">خواندنی2 (60%) | ترتیب آیه (60%) | شمارشی (65%)</t>
  </si>
  <si>
    <t xml:space="preserve">پیشنهاد: در هفته‌های آینده تمرکز بیشتری روی «خواندنی2»، «ترتیب آیه» و «شمارشی» داشته باشید. تمرین خواندنی‌ها اولویت اصلی است. </t>
  </si>
  <si>
    <t xml:space="preserve">پرونده عملکرد: سیدعلی حسینی‌مهر</t>
  </si>
  <si>
    <t xml:space="preserve">59%</t>
  </si>
  <si>
    <t xml:space="preserve">شماره آیه (60%) | تشخیص عبارت (60%)</t>
  </si>
  <si>
    <t xml:space="preserve">شماره صفحه (50%) | اول و آخر آیه (50%) | خواندنی1 (52%)</t>
  </si>
  <si>
    <t xml:space="preserve">پیشنهاد: در هفته‌های آینده تمرکز بیشتری روی «شماره صفحه»، «اول و آخر آیه» و «خواندنی1» داشته باشید. تمرین خواندنی‌ها اولویت اصلی است. توجه: به دلیل غیبت موجه، نمرات پایه ثبت شده است.</t>
  </si>
  <si>
    <t xml:space="preserve">پرونده عملکرد: محمدرضا زارع بیدکی</t>
  </si>
  <si>
    <t xml:space="preserve">51%</t>
  </si>
  <si>
    <t xml:space="preserve">55%</t>
  </si>
  <si>
    <t xml:space="preserve">شماره صفحه (60%) | ترتیب صفحه (55%)</t>
  </si>
  <si>
    <t xml:space="preserve">خواندنی1 (40%) | شماره آیه (40%) | تشخیص عبارت (40%)</t>
  </si>
  <si>
    <t xml:space="preserve">پیشنهاد: در هفته‌های آینده تمرکز بیشتری روی «خواندنی1»، «شماره آیه» و «تشخیص عبارت» داشته باشید. تمرین خواندنی‌ها اولویت اصلی است. توجه: به دلیل غیبت موجه، نمرات پایه ثبت شده است.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</si>
</sst>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Noto Sans"/>
      <family val="2"/>
    </font>
    <font>
      <sz val="10"/>
      <color rgb="FF2E86AB"/>
      <name val="Arial"/>
      <family val="0"/>
      <charset val="1"/>
    </font>
    <font>
      <i val="true"/>
      <sz val="9"/>
      <color rgb="FFC0392B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name val="Arial"/>
      <family val="0"/>
      <charset val="1"/>
    </font>
    <font>
      <sz val="9"/>
      <color rgb="FF2E86AB"/>
      <name val="Arial"/>
      <family val="0"/>
      <charset val="1"/>
    </font>
    <font>
      <sz val="9"/>
      <color rgb="FFC0392B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8"/>
      <color rgb="FF1F4E7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196F3D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8"/>
      <color rgb="FF999999"/>
      <name val="Arial"/>
      <family val="0"/>
      <charset val="1"/>
    </font>
    <font>
      <sz val="7"/>
      <name val="Arial"/>
      <family val="0"/>
      <charset val="1"/>
    </font>
    <font>
      <sz val="8"/>
      <name val="Arial"/>
      <family val="0"/>
      <charset val="1"/>
    </font>
    <font>
      <b val="true"/>
      <sz val="18"/>
      <color rgb="FF000000"/>
      <name val="Noto Sans"/>
      <family val="2"/>
    </font>
    <font>
      <sz val="10"/>
      <color rgb="FF000000"/>
      <name val="Calibri"/>
      <family val="2"/>
    </font>
    <font>
      <b val="true"/>
      <sz val="10"/>
      <color rgb="FF000000"/>
      <name val="Noto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6EAF8"/>
        <bgColor rgb="FFD4EFDF"/>
      </patternFill>
    </fill>
    <fill>
      <patternFill patternType="solid">
        <fgColor rgb="FFD5F5E3"/>
        <bgColor rgb="FFD4EFDF"/>
      </patternFill>
    </fill>
    <fill>
      <patternFill patternType="solid">
        <fgColor rgb="FFFDEBD0"/>
        <bgColor rgb="FFFFF2CC"/>
      </patternFill>
    </fill>
    <fill>
      <patternFill patternType="solid">
        <fgColor rgb="FFD4EFDF"/>
        <bgColor rgb="FFD5F5E3"/>
      </patternFill>
    </fill>
    <fill>
      <patternFill patternType="solid">
        <fgColor rgb="FFFADBD8"/>
        <bgColor rgb="FFFDEBD0"/>
      </patternFill>
    </fill>
    <fill>
      <patternFill patternType="solid">
        <fgColor rgb="FFF9E79F"/>
        <bgColor rgb="FFFDEBD0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DEBD0"/>
      </patternFill>
    </fill>
    <fill>
      <patternFill patternType="solid">
        <fgColor rgb="FFF2F3F4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F3D"/>
      <rgbColor rgb="FF000080"/>
      <rgbColor rgb="FF808000"/>
      <rgbColor rgb="FF800080"/>
      <rgbColor rgb="FF4F81BD"/>
      <rgbColor rgb="FFB0B0B0"/>
      <rgbColor rgb="FF878787"/>
      <rgbColor rgb="FF9999FF"/>
      <rgbColor rgb="FFBE4B48"/>
      <rgbColor rgb="FFFFF2CC"/>
      <rgbColor rgb="FFD4EFDF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9E79F"/>
      <rgbColor rgb="FFF2F3F4"/>
      <rgbColor rgb="FFFDEBD0"/>
      <rgbColor rgb="FFF9F9F9"/>
      <rgbColor rgb="FFFADBD8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86AB"/>
      <rgbColor rgb="FF003300"/>
      <rgbColor rgb="FF333300"/>
      <rgbColor rgb="FFC0392B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محمد طه زارعیان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عملکرد_1!A24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عملکرد_1!$A$24:$I$24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عملکرد_1!$B$24:$I$24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عملکرد_1!A25</c:f>
              <c:strCache>
                <c:ptCount val="1"/>
                <c:pt idx="0">
                  <c:v>68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عملکرد_1!$A$24:$I$24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عملکرد_1!$B$25:$I$25</c:f>
              <c:numCache>
                <c:formatCode>General</c:formatCode>
                <c:ptCount val="8"/>
                <c:pt idx="0">
                  <c:v>74</c:v>
                </c:pt>
                <c:pt idx="1">
                  <c:v>30</c:v>
                </c:pt>
                <c:pt idx="2">
                  <c:v>80</c:v>
                </c:pt>
                <c:pt idx="3">
                  <c:v>60</c:v>
                </c:pt>
                <c:pt idx="4">
                  <c:v>43</c:v>
                </c:pt>
                <c:pt idx="5">
                  <c:v>45</c:v>
                </c:pt>
                <c:pt idx="6">
                  <c:v>20</c:v>
                </c:pt>
                <c:pt idx="7">
                  <c:v>50</c:v>
                </c:pt>
              </c:numCache>
            </c:numRef>
          </c:val>
        </c:ser>
        <c:gapWidth val="150"/>
        <c:overlap val="0"/>
        <c:axId val="31156091"/>
        <c:axId val="47249636"/>
      </c:barChart>
      <c:catAx>
        <c:axId val="31156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49636"/>
        <c:crosses val="autoZero"/>
        <c:auto val="1"/>
        <c:lblAlgn val="ctr"/>
        <c:lblOffset val="100"/>
        <c:noMultiLvlLbl val="0"/>
      </c:catAx>
      <c:valAx>
        <c:axId val="47249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56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عملکرد_1!A42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عملکرد_1!$B$42:$E$42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عملکرد_1!A43</c:f>
              <c:strCache>
                <c:ptCount val="1"/>
                <c:pt idx="0">
                  <c:v>80.5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عملکرد_1!$B$43:$E$43</c:f>
              <c:numCache>
                <c:formatCode>General</c:formatCode>
                <c:ptCount val="4"/>
                <c:pt idx="0">
                  <c:v>65</c:v>
                </c:pt>
                <c:pt idx="1">
                  <c:v>63.5</c:v>
                </c:pt>
                <c:pt idx="2">
                  <c:v>65</c:v>
                </c:pt>
                <c:pt idx="3">
                  <c:v>59.5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243821"/>
        <c:axId val="23747099"/>
      </c:lineChart>
      <c:catAx>
        <c:axId val="642438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47099"/>
        <c:crosses val="autoZero"/>
        <c:auto val="1"/>
        <c:lblAlgn val="ctr"/>
        <c:lblOffset val="100"/>
        <c:noMultiLvlLbl val="0"/>
      </c:catAx>
      <c:valAx>
        <c:axId val="237470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438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محمد طه میرشکار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عملکرد_2!A24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عملکرد_2!$A$24:$I$24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عملکرد_2!$B$24:$I$24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عملکرد_2!A25</c:f>
              <c:strCache>
                <c:ptCount val="1"/>
                <c:pt idx="0">
                  <c:v>82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عملکرد_2!$A$24:$I$24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عملکرد_2!$B$25:$I$25</c:f>
              <c:numCache>
                <c:formatCode>General</c:formatCode>
                <c:ptCount val="8"/>
                <c:pt idx="0">
                  <c:v>76</c:v>
                </c:pt>
                <c:pt idx="1">
                  <c:v>70</c:v>
                </c:pt>
                <c:pt idx="2">
                  <c:v>60</c:v>
                </c:pt>
                <c:pt idx="3">
                  <c:v>30</c:v>
                </c:pt>
                <c:pt idx="4">
                  <c:v>83</c:v>
                </c:pt>
                <c:pt idx="5">
                  <c:v>60</c:v>
                </c:pt>
                <c:pt idx="6">
                  <c:v>44</c:v>
                </c:pt>
                <c:pt idx="7">
                  <c:v>30</c:v>
                </c:pt>
              </c:numCache>
            </c:numRef>
          </c:val>
        </c:ser>
        <c:gapWidth val="150"/>
        <c:overlap val="0"/>
        <c:axId val="58852137"/>
        <c:axId val="33430280"/>
      </c:barChart>
      <c:catAx>
        <c:axId val="588521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30280"/>
        <c:crosses val="autoZero"/>
        <c:auto val="1"/>
        <c:lblAlgn val="ctr"/>
        <c:lblOffset val="100"/>
        <c:noMultiLvlLbl val="0"/>
      </c:catAx>
      <c:valAx>
        <c:axId val="33430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521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عملکرد_2!A42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عملکرد_2!$B$42:$E$42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عملکرد_2!A43</c:f>
              <c:strCache>
                <c:ptCount val="1"/>
                <c:pt idx="0">
                  <c:v>79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عملکرد_2!$B$43:$E$43</c:f>
              <c:numCache>
                <c:formatCode>General</c:formatCode>
                <c:ptCount val="4"/>
                <c:pt idx="0">
                  <c:v>64.5</c:v>
                </c:pt>
                <c:pt idx="1">
                  <c:v>87</c:v>
                </c:pt>
                <c:pt idx="2">
                  <c:v>75.5</c:v>
                </c:pt>
                <c:pt idx="3">
                  <c:v>59.5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438771"/>
        <c:axId val="4715607"/>
      </c:lineChart>
      <c:catAx>
        <c:axId val="704387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5607"/>
        <c:crosses val="autoZero"/>
        <c:auto val="1"/>
        <c:lblAlgn val="ctr"/>
        <c:lblOffset val="100"/>
        <c:noMultiLvlLbl val="0"/>
      </c:catAx>
      <c:valAx>
        <c:axId val="4715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38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سیدمحمد طه حسینی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عملکرد_3!A24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عملکرد_3!$A$24:$I$24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عملکرد_3!$B$24:$I$24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عملکرد_3!A25</c:f>
              <c:strCache>
                <c:ptCount val="1"/>
                <c:pt idx="0">
                  <c:v>93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عملکرد_3!$A$24:$I$24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عملکرد_3!$B$25:$I$25</c:f>
              <c:numCache>
                <c:formatCode>General</c:formatCode>
                <c:ptCount val="8"/>
                <c:pt idx="0">
                  <c:v>75</c:v>
                </c:pt>
                <c:pt idx="1">
                  <c:v>70</c:v>
                </c:pt>
                <c:pt idx="2">
                  <c:v>90</c:v>
                </c:pt>
                <c:pt idx="3">
                  <c:v>20</c:v>
                </c:pt>
                <c:pt idx="4">
                  <c:v>86</c:v>
                </c:pt>
                <c:pt idx="5">
                  <c:v>60</c:v>
                </c:pt>
                <c:pt idx="6">
                  <c:v>20</c:v>
                </c:pt>
                <c:pt idx="7">
                  <c:v>54</c:v>
                </c:pt>
              </c:numCache>
            </c:numRef>
          </c:val>
        </c:ser>
        <c:gapWidth val="150"/>
        <c:overlap val="0"/>
        <c:axId val="79287197"/>
        <c:axId val="44272936"/>
      </c:barChart>
      <c:catAx>
        <c:axId val="792871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72936"/>
        <c:crosses val="autoZero"/>
        <c:auto val="1"/>
        <c:lblAlgn val="ctr"/>
        <c:lblOffset val="100"/>
        <c:noMultiLvlLbl val="0"/>
      </c:catAx>
      <c:valAx>
        <c:axId val="44272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871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عملکرد_3!A42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عملکرد_3!$B$42:$E$42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عملکرد_3!A43</c:f>
              <c:strCache>
                <c:ptCount val="1"/>
                <c:pt idx="0">
                  <c:v>86.5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عملکرد_3!$B$43:$E$43</c:f>
              <c:numCache>
                <c:formatCode>General</c:formatCode>
                <c:ptCount val="4"/>
                <c:pt idx="0">
                  <c:v>77.5</c:v>
                </c:pt>
                <c:pt idx="1">
                  <c:v>76.2</c:v>
                </c:pt>
                <c:pt idx="2">
                  <c:v>64.5</c:v>
                </c:pt>
                <c:pt idx="3">
                  <c:v>70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625244"/>
        <c:axId val="64778486"/>
      </c:lineChart>
      <c:catAx>
        <c:axId val="426252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78486"/>
        <c:crosses val="autoZero"/>
        <c:auto val="1"/>
        <c:lblAlgn val="ctr"/>
        <c:lblOffset val="100"/>
        <c:noMultiLvlLbl val="0"/>
      </c:catAx>
      <c:valAx>
        <c:axId val="64778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25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ابوالفضل دهقانیزاده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عملکرد_4!A24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عملکرد_4!$A$24:$I$24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عملکرد_4!$B$24:$I$24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عملکرد_4!A25</c:f>
              <c:strCache>
                <c:ptCount val="1"/>
                <c:pt idx="0">
                  <c:v>82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عملکرد_4!$A$24:$I$24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عملکرد_4!$B$25:$I$25</c:f>
              <c:numCache>
                <c:formatCode>General</c:formatCode>
                <c:ptCount val="8"/>
                <c:pt idx="0">
                  <c:v>62</c:v>
                </c:pt>
                <c:pt idx="1">
                  <c:v>60</c:v>
                </c:pt>
                <c:pt idx="2">
                  <c:v>60</c:v>
                </c:pt>
                <c:pt idx="3">
                  <c:v>40</c:v>
                </c:pt>
                <c:pt idx="4">
                  <c:v>63</c:v>
                </c:pt>
                <c:pt idx="5">
                  <c:v>90</c:v>
                </c:pt>
                <c:pt idx="6">
                  <c:v>40</c:v>
                </c:pt>
                <c:pt idx="7">
                  <c:v>80</c:v>
                </c:pt>
              </c:numCache>
            </c:numRef>
          </c:val>
        </c:ser>
        <c:gapWidth val="150"/>
        <c:overlap val="0"/>
        <c:axId val="29274441"/>
        <c:axId val="9432784"/>
      </c:barChart>
      <c:catAx>
        <c:axId val="292744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2784"/>
        <c:crosses val="autoZero"/>
        <c:auto val="1"/>
        <c:lblAlgn val="ctr"/>
        <c:lblOffset val="100"/>
        <c:noMultiLvlLbl val="0"/>
      </c:catAx>
      <c:valAx>
        <c:axId val="9432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744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عملکرد_4!A42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عملکرد_4!$B$42:$E$42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عملکرد_4!A43</c:f>
              <c:strCache>
                <c:ptCount val="1"/>
                <c:pt idx="0">
                  <c:v>77.5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عملکرد_4!$B$43:$E$43</c:f>
              <c:numCache>
                <c:formatCode>General</c:formatCode>
                <c:ptCount val="4"/>
                <c:pt idx="0">
                  <c:v>87</c:v>
                </c:pt>
                <c:pt idx="1">
                  <c:v>81</c:v>
                </c:pt>
                <c:pt idx="2">
                  <c:v>67.5</c:v>
                </c:pt>
                <c:pt idx="3">
                  <c:v>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050789"/>
        <c:axId val="47836992"/>
      </c:lineChart>
      <c:catAx>
        <c:axId val="780507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36992"/>
        <c:crosses val="autoZero"/>
        <c:auto val="1"/>
        <c:lblAlgn val="ctr"/>
        <c:lblOffset val="100"/>
        <c:noMultiLvlLbl val="0"/>
      </c:catAx>
      <c:valAx>
        <c:axId val="47836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507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محمدمهدی زارعیان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عملکرد_5!A24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عملکرد_5!$A$24:$I$24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عملکرد_5!$B$24:$I$24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عملکرد_5!A25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عملکرد_5!$A$24:$I$24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عملکرد_5!$B$25:$I$25</c:f>
              <c:numCache>
                <c:formatCode>General</c:formatCode>
                <c:ptCount val="8"/>
                <c:pt idx="0">
                  <c:v>58</c:v>
                </c:pt>
                <c:pt idx="1">
                  <c:v>30</c:v>
                </c:pt>
                <c:pt idx="2">
                  <c:v>20</c:v>
                </c:pt>
                <c:pt idx="3">
                  <c:v>30</c:v>
                </c:pt>
                <c:pt idx="4">
                  <c:v>29</c:v>
                </c:pt>
                <c:pt idx="5">
                  <c:v>70</c:v>
                </c:pt>
                <c:pt idx="6">
                  <c:v>30</c:v>
                </c:pt>
                <c:pt idx="7">
                  <c:v>70</c:v>
                </c:pt>
              </c:numCache>
            </c:numRef>
          </c:val>
        </c:ser>
        <c:gapWidth val="150"/>
        <c:overlap val="0"/>
        <c:axId val="26947039"/>
        <c:axId val="80824085"/>
      </c:barChart>
      <c:catAx>
        <c:axId val="2694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24085"/>
        <c:crosses val="autoZero"/>
        <c:auto val="1"/>
        <c:lblAlgn val="ctr"/>
        <c:lblOffset val="100"/>
        <c:noMultiLvlLbl val="0"/>
      </c:catAx>
      <c:valAx>
        <c:axId val="80824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470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عملکرد_5!A42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عملکرد_5!$B$42:$E$42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عملکرد_5!A43</c:f>
              <c:strCache>
                <c:ptCount val="1"/>
                <c:pt idx="0">
                  <c:v>62.5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عملکرد_5!$B$43:$E$43</c:f>
              <c:numCache>
                <c:formatCode>General</c:formatCode>
                <c:ptCount val="4"/>
                <c:pt idx="0">
                  <c:v>54.5</c:v>
                </c:pt>
                <c:pt idx="1">
                  <c:v>41.5</c:v>
                </c:pt>
                <c:pt idx="2">
                  <c:v>72.5</c:v>
                </c:pt>
                <c:pt idx="3">
                  <c:v>66.5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506504"/>
        <c:axId val="64556842"/>
      </c:lineChart>
      <c:catAx>
        <c:axId val="6650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56842"/>
        <c:crosses val="autoZero"/>
        <c:auto val="1"/>
        <c:lblAlgn val="ctr"/>
        <c:lblOffset val="100"/>
        <c:noMultiLvlLbl val="0"/>
      </c:catAx>
      <c:valAx>
        <c:axId val="64556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065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بهنام بیک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عملکرد_6!A24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عملکرد_6!$A$24:$I$24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عملکرد_6!$B$24:$I$24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عملکرد_6!A25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عملکرد_6!$A$24:$I$24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عملکرد_6!$B$25:$I$25</c:f>
              <c:numCache>
                <c:formatCode>General</c:formatCode>
                <c:ptCount val="8"/>
                <c:pt idx="0">
                  <c:v>70</c:v>
                </c:pt>
                <c:pt idx="1">
                  <c:v>75</c:v>
                </c:pt>
                <c:pt idx="2">
                  <c:v>50</c:v>
                </c:pt>
                <c:pt idx="3">
                  <c:v>60</c:v>
                </c:pt>
                <c:pt idx="4">
                  <c:v>66</c:v>
                </c:pt>
                <c:pt idx="5">
                  <c:v>70</c:v>
                </c:pt>
                <c:pt idx="6">
                  <c:v>50</c:v>
                </c:pt>
                <c:pt idx="7">
                  <c:v>40</c:v>
                </c:pt>
              </c:numCache>
            </c:numRef>
          </c:val>
        </c:ser>
        <c:gapWidth val="150"/>
        <c:overlap val="0"/>
        <c:axId val="34945993"/>
        <c:axId val="48627236"/>
      </c:barChart>
      <c:catAx>
        <c:axId val="34945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27236"/>
        <c:crosses val="autoZero"/>
        <c:auto val="1"/>
        <c:lblAlgn val="ctr"/>
        <c:lblOffset val="100"/>
        <c:noMultiLvlLbl val="0"/>
      </c:catAx>
      <c:valAx>
        <c:axId val="48627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45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عملکرد_6!A42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عملکرد_6!$B$42:$E$42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عملکرد_6!A43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عملکرد_6!$B$43:$E$43</c:f>
              <c:numCache>
                <c:formatCode>General</c:formatCode>
                <c:ptCount val="4"/>
                <c:pt idx="0">
                  <c:v>79.5</c:v>
                </c:pt>
                <c:pt idx="1">
                  <c:v>50</c:v>
                </c:pt>
                <c:pt idx="2">
                  <c:v>76</c:v>
                </c:pt>
                <c:pt idx="3">
                  <c:v>79.5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194326"/>
        <c:axId val="52869478"/>
      </c:lineChart>
      <c:catAx>
        <c:axId val="851943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69478"/>
        <c:crosses val="autoZero"/>
        <c:auto val="1"/>
        <c:lblAlgn val="ctr"/>
        <c:lblOffset val="100"/>
        <c:noMultiLvlLbl val="0"/>
      </c:catAx>
      <c:valAx>
        <c:axId val="52869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94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محمد امین زارع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عملکرد_7!A24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عملکرد_7!$A$24:$I$24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عملکرد_7!$B$24:$I$24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عملکرد_7!A25</c:f>
              <c:strCache>
                <c:ptCount val="1"/>
                <c:pt idx="0">
                  <c:v>76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عملکرد_7!$A$24:$I$24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عملکرد_7!$B$25:$I$25</c:f>
              <c:numCache>
                <c:formatCode>General</c:formatCode>
                <c:ptCount val="8"/>
                <c:pt idx="0">
                  <c:v>97</c:v>
                </c:pt>
                <c:pt idx="1">
                  <c:v>30</c:v>
                </c:pt>
                <c:pt idx="2">
                  <c:v>60</c:v>
                </c:pt>
                <c:pt idx="3">
                  <c:v>30</c:v>
                </c:pt>
                <c:pt idx="4">
                  <c:v>63</c:v>
                </c:pt>
                <c:pt idx="5">
                  <c:v>52</c:v>
                </c:pt>
                <c:pt idx="6">
                  <c:v>40</c:v>
                </c:pt>
                <c:pt idx="7">
                  <c:v>50</c:v>
                </c:pt>
              </c:numCache>
            </c:numRef>
          </c:val>
        </c:ser>
        <c:gapWidth val="150"/>
        <c:overlap val="0"/>
        <c:axId val="94482260"/>
        <c:axId val="61498526"/>
      </c:barChart>
      <c:catAx>
        <c:axId val="94482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98526"/>
        <c:crosses val="autoZero"/>
        <c:auto val="1"/>
        <c:lblAlgn val="ctr"/>
        <c:lblOffset val="100"/>
        <c:noMultiLvlLbl val="0"/>
      </c:catAx>
      <c:valAx>
        <c:axId val="61498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822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عملکرد_7!A42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عملکرد_7!$B$42:$E$42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عملکرد_7!A43</c:f>
              <c:strCache>
                <c:ptCount val="1"/>
                <c:pt idx="0">
                  <c:v>75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عملکرد_7!$B$43:$E$43</c:f>
              <c:numCache>
                <c:formatCode>General</c:formatCode>
                <c:ptCount val="4"/>
                <c:pt idx="0">
                  <c:v>71</c:v>
                </c:pt>
                <c:pt idx="1">
                  <c:v>75</c:v>
                </c:pt>
                <c:pt idx="2">
                  <c:v>82</c:v>
                </c:pt>
                <c:pt idx="3">
                  <c:v>85.5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212565"/>
        <c:axId val="94579708"/>
      </c:lineChart>
      <c:catAx>
        <c:axId val="84212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79708"/>
        <c:crosses val="autoZero"/>
        <c:auto val="1"/>
        <c:lblAlgn val="ctr"/>
        <c:lblOffset val="100"/>
        <c:noMultiLvlLbl val="0"/>
      </c:catAx>
      <c:valAx>
        <c:axId val="94579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125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سیدمصطفی طباطبایی‌نسب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عملکرد_8!A24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عملکرد_8!$A$24:$I$24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عملکرد_8!$B$24:$I$24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عملکرد_8!A25</c:f>
              <c:strCache>
                <c:ptCount val="1"/>
                <c:pt idx="0">
                  <c:v>72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عملکرد_8!$A$24:$I$24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عملکرد_8!$B$25:$I$25</c:f>
              <c:numCache>
                <c:formatCode>General</c:formatCode>
                <c:ptCount val="8"/>
                <c:pt idx="0">
                  <c:v>66</c:v>
                </c:pt>
                <c:pt idx="1">
                  <c:v>40</c:v>
                </c:pt>
                <c:pt idx="2">
                  <c:v>30</c:v>
                </c:pt>
                <c:pt idx="3">
                  <c:v>10</c:v>
                </c:pt>
                <c:pt idx="4">
                  <c:v>33</c:v>
                </c:pt>
                <c:pt idx="5">
                  <c:v>80</c:v>
                </c:pt>
                <c:pt idx="6">
                  <c:v>40</c:v>
                </c:pt>
                <c:pt idx="7">
                  <c:v>70</c:v>
                </c:pt>
              </c:numCache>
            </c:numRef>
          </c:val>
        </c:ser>
        <c:gapWidth val="150"/>
        <c:overlap val="0"/>
        <c:axId val="90609905"/>
        <c:axId val="62135100"/>
      </c:barChart>
      <c:catAx>
        <c:axId val="906099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35100"/>
        <c:crosses val="autoZero"/>
        <c:auto val="1"/>
        <c:lblAlgn val="ctr"/>
        <c:lblOffset val="100"/>
        <c:noMultiLvlLbl val="0"/>
      </c:catAx>
      <c:valAx>
        <c:axId val="62135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099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عملکرد_8!A42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عملکرد_8!$B$42:$E$42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عملکرد_8!A43</c:f>
              <c:strCache>
                <c:ptCount val="1"/>
                <c:pt idx="0">
                  <c:v>78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عملکرد_8!$B$43:$E$43</c:f>
              <c:numCache>
                <c:formatCode>General</c:formatCode>
                <c:ptCount val="4"/>
                <c:pt idx="0">
                  <c:v>50</c:v>
                </c:pt>
                <c:pt idx="1">
                  <c:v>71</c:v>
                </c:pt>
                <c:pt idx="2">
                  <c:v>55</c:v>
                </c:pt>
                <c:pt idx="3">
                  <c:v>70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627041"/>
        <c:axId val="37539532"/>
      </c:lineChart>
      <c:catAx>
        <c:axId val="306270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39532"/>
        <c:crosses val="autoZero"/>
        <c:auto val="1"/>
        <c:lblAlgn val="ctr"/>
        <c:lblOffset val="100"/>
        <c:noMultiLvlLbl val="0"/>
      </c:catAx>
      <c:valAx>
        <c:axId val="37539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270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ابوالفضل پور صباغ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عملکرد_9!A24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عملکرد_9!$A$24:$I$24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عملکرد_9!$B$24:$I$24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عملکرد_9!A25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عملکرد_9!$A$24:$I$24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عملکرد_9!$B$25:$I$25</c:f>
              <c:numCache>
                <c:formatCode>General</c:formatCode>
                <c:ptCount val="8"/>
                <c:pt idx="0">
                  <c:v>68</c:v>
                </c:pt>
                <c:pt idx="1">
                  <c:v>70</c:v>
                </c:pt>
                <c:pt idx="2">
                  <c:v>40</c:v>
                </c:pt>
                <c:pt idx="3">
                  <c:v>40</c:v>
                </c:pt>
                <c:pt idx="4">
                  <c:v>60</c:v>
                </c:pt>
                <c:pt idx="5">
                  <c:v>50</c:v>
                </c:pt>
                <c:pt idx="6">
                  <c:v>50</c:v>
                </c:pt>
                <c:pt idx="7">
                  <c:v>60</c:v>
                </c:pt>
              </c:numCache>
            </c:numRef>
          </c:val>
        </c:ser>
        <c:gapWidth val="150"/>
        <c:overlap val="0"/>
        <c:axId val="29458335"/>
        <c:axId val="70119200"/>
      </c:barChart>
      <c:catAx>
        <c:axId val="2945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19200"/>
        <c:crosses val="autoZero"/>
        <c:auto val="1"/>
        <c:lblAlgn val="ctr"/>
        <c:lblOffset val="100"/>
        <c:noMultiLvlLbl val="0"/>
      </c:catAx>
      <c:valAx>
        <c:axId val="70119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583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عملکرد_9!A42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عملکرد_9!$B$42:$E$42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عملکرد_9!A43</c:f>
              <c:strCache>
                <c:ptCount val="1"/>
                <c:pt idx="0">
                  <c:v>76.5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عملکرد_9!$B$43:$E$43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75.5</c:v>
                </c:pt>
                <c:pt idx="3">
                  <c:v>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855244"/>
        <c:axId val="43167259"/>
      </c:lineChart>
      <c:catAx>
        <c:axId val="258552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67259"/>
        <c:crosses val="autoZero"/>
        <c:auto val="1"/>
        <c:lblAlgn val="ctr"/>
        <c:lblOffset val="100"/>
        <c:noMultiLvlLbl val="0"/>
      </c:catAx>
      <c:valAx>
        <c:axId val="43167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55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بهزاد بیک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عملکرد_10!A24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عملکرد_10!$A$24:$I$24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عملکرد_10!$B$24:$I$24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عملکرد_10!A25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عملکرد_10!$A$24:$I$24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عملکرد_10!$B$25:$I$25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  <c:pt idx="6">
                  <c:v>66</c:v>
                </c:pt>
                <c:pt idx="7">
                  <c:v>65</c:v>
                </c:pt>
              </c:numCache>
            </c:numRef>
          </c:val>
        </c:ser>
        <c:gapWidth val="150"/>
        <c:overlap val="0"/>
        <c:axId val="46891176"/>
        <c:axId val="46767653"/>
      </c:barChart>
      <c:catAx>
        <c:axId val="4689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67653"/>
        <c:crosses val="autoZero"/>
        <c:auto val="1"/>
        <c:lblAlgn val="ctr"/>
        <c:lblOffset val="100"/>
        <c:noMultiLvlLbl val="0"/>
      </c:catAx>
      <c:valAx>
        <c:axId val="467676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911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عملکرد_10!A42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عملکرد_10!$B$42:$E$42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عملکرد_10!A43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عملکرد_10!$B$43:$E$43</c:f>
              <c:numCache>
                <c:formatCode>General</c:formatCode>
                <c:ptCount val="4"/>
                <c:pt idx="0">
                  <c:v>82.5</c:v>
                </c:pt>
                <c:pt idx="1">
                  <c:v>50</c:v>
                </c:pt>
                <c:pt idx="2">
                  <c:v>77.8</c:v>
                </c:pt>
                <c:pt idx="3">
                  <c:v>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869354"/>
        <c:axId val="5488788"/>
      </c:lineChart>
      <c:catAx>
        <c:axId val="228693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8788"/>
        <c:crosses val="autoZero"/>
        <c:auto val="1"/>
        <c:lblAlgn val="ctr"/>
        <c:lblOffset val="100"/>
        <c:noMultiLvlLbl val="0"/>
      </c:catAx>
      <c:valAx>
        <c:axId val="5488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693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سیدعلی حسینی‌مهر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عملکرد_11!A24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عملکرد_11!$A$24:$I$24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عملکرد_11!$B$24:$I$24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عملکرد_11!A25</c:f>
              <c:strCache>
                <c:ptCount val="1"/>
                <c:pt idx="0">
                  <c:v>52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عملکرد_11!$A$24:$I$24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عملکرد_11!$B$25:$I$25</c:f>
              <c:numCache>
                <c:formatCode>General</c:formatCode>
                <c:ptCount val="8"/>
                <c:pt idx="0">
                  <c:v>59</c:v>
                </c:pt>
                <c:pt idx="1">
                  <c:v>50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50</c:v>
                </c:pt>
                <c:pt idx="7">
                  <c:v>60</c:v>
                </c:pt>
              </c:numCache>
            </c:numRef>
          </c:val>
        </c:ser>
        <c:gapWidth val="150"/>
        <c:overlap val="0"/>
        <c:axId val="77963207"/>
        <c:axId val="63852588"/>
      </c:barChart>
      <c:catAx>
        <c:axId val="77963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52588"/>
        <c:crosses val="autoZero"/>
        <c:auto val="1"/>
        <c:lblAlgn val="ctr"/>
        <c:lblOffset val="100"/>
        <c:noMultiLvlLbl val="0"/>
      </c:catAx>
      <c:valAx>
        <c:axId val="63852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632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عملکرد_11!A42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عملکرد_11!$B$42:$E$42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عملکرد_11!A43</c:f>
              <c:strCache>
                <c:ptCount val="1"/>
                <c:pt idx="0">
                  <c:v>79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عملکرد_11!$B$43:$E$43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101550"/>
        <c:axId val="18665478"/>
      </c:lineChart>
      <c:catAx>
        <c:axId val="411015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65478"/>
        <c:crosses val="autoZero"/>
        <c:auto val="1"/>
        <c:lblAlgn val="ctr"/>
        <c:lblOffset val="100"/>
        <c:noMultiLvlLbl val="0"/>
      </c:catAx>
      <c:valAx>
        <c:axId val="18665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01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درصد عملکرد در هر بخش — محمدرضا زارع بیدکی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عملکرد_12!A24</c:f>
              <c:strCache>
                <c:ptCount val="1"/>
                <c:pt idx="0">
                  <c:v>خواندنی1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عملکرد_12!$A$24:$I$24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عملکرد_12!$B$24:$I$24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عملکرد_12!A25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عملکرد_12!$A$24:$I$24</c:f>
              <c:strCache>
                <c:ptCount val="9"/>
                <c:pt idx="0">
                  <c:v>خواندنی1</c:v>
                </c:pt>
                <c:pt idx="1">
                  <c:v>خواندنی2</c:v>
                </c:pt>
                <c:pt idx="2">
                  <c:v>شماره صفحه</c:v>
                </c:pt>
                <c:pt idx="3">
                  <c:v>شماره آیه</c:v>
                </c:pt>
                <c:pt idx="4">
                  <c:v>تشخیص عبارت</c:v>
                </c:pt>
                <c:pt idx="5">
                  <c:v>ترتیب آیه</c:v>
                </c:pt>
                <c:pt idx="6">
                  <c:v>ترتیب صفحه</c:v>
                </c:pt>
                <c:pt idx="7">
                  <c:v>اول و آخر آیه</c:v>
                </c:pt>
                <c:pt idx="8">
                  <c:v>شمارشی</c:v>
                </c:pt>
              </c:strCache>
            </c:strRef>
          </c:cat>
          <c:val>
            <c:numRef>
              <c:f>عملکرد_12!$B$25:$I$25</c:f>
              <c:numCache>
                <c:formatCode>General</c:formatCode>
                <c:ptCount val="8"/>
                <c:pt idx="0">
                  <c:v>50</c:v>
                </c:pt>
                <c:pt idx="1">
                  <c:v>60</c:v>
                </c:pt>
                <c:pt idx="2">
                  <c:v>40</c:v>
                </c:pt>
                <c:pt idx="3">
                  <c:v>40</c:v>
                </c:pt>
                <c:pt idx="4">
                  <c:v>51</c:v>
                </c:pt>
                <c:pt idx="5">
                  <c:v>55</c:v>
                </c:pt>
                <c:pt idx="6">
                  <c:v>40</c:v>
                </c:pt>
                <c:pt idx="7">
                  <c:v>50</c:v>
                </c:pt>
              </c:numCache>
            </c:numRef>
          </c:val>
        </c:ser>
        <c:gapWidth val="150"/>
        <c:overlap val="0"/>
        <c:axId val="41100596"/>
        <c:axId val="73667319"/>
      </c:barChart>
      <c:catAx>
        <c:axId val="41100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67319"/>
        <c:crosses val="autoZero"/>
        <c:auto val="1"/>
        <c:lblAlgn val="ctr"/>
        <c:lblOffset val="100"/>
        <c:noMultiLvlLbl val="0"/>
      </c:catAx>
      <c:valAx>
        <c:axId val="73667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درصد از حداکثر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005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میانگین روزانه در طول هفته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عملکرد_12!A42</c:f>
              <c:strCache>
                <c:ptCount val="1"/>
                <c:pt idx="0">
                  <c:v>/5/17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عملکرد_12!$B$42:$E$42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عملکرد_12!A43</c:f>
              <c:strCache>
                <c:ptCount val="1"/>
                <c:pt idx="0">
                  <c:v>48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عملکرد_12!$B$43:$E$43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911657"/>
        <c:axId val="82762762"/>
      </c:lineChart>
      <c:catAx>
        <c:axId val="33911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62762"/>
        <c:crosses val="autoZero"/>
        <c:auto val="1"/>
        <c:lblAlgn val="ctr"/>
        <c:lblOffset val="100"/>
        <c:noMultiLvlLbl val="0"/>
      </c:catAx>
      <c:valAx>
        <c:axId val="82762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میانگین روز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116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0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1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2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3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4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5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6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7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8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9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10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11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12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13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14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15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16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17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18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19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20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21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-699840</xdr:colOff>
      <xdr:row>25</xdr:row>
      <xdr:rowOff>144000</xdr:rowOff>
    </xdr:from>
    <xdr:to>
      <xdr:col>7</xdr:col>
      <xdr:colOff>0</xdr:colOff>
      <xdr:row>42</xdr:row>
      <xdr:rowOff>145080</xdr:rowOff>
    </xdr:to>
    <xdr:graphicFrame>
      <xdr:nvGraphicFramePr>
        <xdr:cNvPr id="22" name="Chart 1"/>
        <xdr:cNvGraphicFramePr/>
      </xdr:nvGraphicFramePr>
      <xdr:xfrm>
        <a:off x="-6479640" y="5429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-35280</xdr:colOff>
      <xdr:row>43</xdr:row>
      <xdr:rowOff>144000</xdr:rowOff>
    </xdr:from>
    <xdr:to>
      <xdr:col>6</xdr:col>
      <xdr:colOff>0</xdr:colOff>
      <xdr:row>58</xdr:row>
      <xdr:rowOff>166320</xdr:rowOff>
    </xdr:to>
    <xdr:graphicFrame>
      <xdr:nvGraphicFramePr>
        <xdr:cNvPr id="23" name="Chart 2"/>
        <xdr:cNvGraphicFramePr/>
      </xdr:nvGraphicFramePr>
      <xdr:xfrm>
        <a:off x="-5039640" y="8858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7" min="3" style="0" width="14"/>
    <col collapsed="false" customWidth="true" hidden="false" outlineLevel="0" max="8" min="8" style="0" width="22"/>
    <col collapsed="false" customWidth="true" hidden="false" outlineLevel="0" max="12" min="9" style="0" width="14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  <c r="K4" s="8" t="s">
        <v>7</v>
      </c>
      <c r="L4" s="8"/>
    </row>
    <row r="5" customFormat="false" ht="34.5" hidden="false" customHeight="true" outlineLevel="0" collapsed="false">
      <c r="A5" s="9" t="n">
        <v>12</v>
      </c>
      <c r="B5" s="9"/>
      <c r="C5" s="10" t="n">
        <v>69.3</v>
      </c>
      <c r="D5" s="10"/>
      <c r="E5" s="11" t="n">
        <v>48</v>
      </c>
      <c r="F5" s="11"/>
      <c r="G5" s="12" t="n">
        <v>79</v>
      </c>
      <c r="H5" s="12"/>
      <c r="I5" s="13" t="n">
        <v>4</v>
      </c>
      <c r="J5" s="13"/>
      <c r="K5" s="14" t="s">
        <v>8</v>
      </c>
      <c r="L5" s="14"/>
    </row>
    <row r="7" customFormat="false" ht="15" hidden="false" customHeight="false" outlineLevel="0" collapsed="false">
      <c r="A7" s="15" t="s">
        <v>9</v>
      </c>
      <c r="B7" s="15"/>
      <c r="C7" s="15"/>
      <c r="D7" s="15"/>
      <c r="E7" s="15"/>
      <c r="F7" s="15"/>
      <c r="G7" s="15"/>
      <c r="H7" s="15"/>
    </row>
    <row r="8" customFormat="false" ht="15" hidden="false" customHeight="false" outlineLevel="0" collapsed="false">
      <c r="A8" s="16" t="s">
        <v>10</v>
      </c>
      <c r="B8" s="16" t="s">
        <v>11</v>
      </c>
      <c r="C8" s="16" t="s">
        <v>12</v>
      </c>
      <c r="D8" s="16" t="s">
        <v>4</v>
      </c>
      <c r="E8" s="16" t="s">
        <v>13</v>
      </c>
      <c r="F8" s="16" t="s">
        <v>14</v>
      </c>
      <c r="G8" s="16" t="s">
        <v>15</v>
      </c>
      <c r="H8" s="16" t="s">
        <v>16</v>
      </c>
    </row>
    <row r="9" customFormat="false" ht="16.4" hidden="false" customHeight="false" outlineLevel="0" collapsed="false">
      <c r="A9" s="17" t="n">
        <v>1</v>
      </c>
      <c r="B9" s="18" t="s">
        <v>17</v>
      </c>
      <c r="C9" s="17" t="n">
        <v>73</v>
      </c>
      <c r="D9" s="17" t="n">
        <v>52</v>
      </c>
      <c r="E9" s="17" t="n">
        <v>37</v>
      </c>
      <c r="F9" s="17" t="n">
        <v>47.5</v>
      </c>
      <c r="G9" s="19" t="n">
        <v>79</v>
      </c>
      <c r="H9" s="20" t="s">
        <v>18</v>
      </c>
    </row>
    <row r="10" customFormat="false" ht="16.4" hidden="false" customHeight="false" outlineLevel="0" collapsed="false">
      <c r="A10" s="17" t="n">
        <v>2</v>
      </c>
      <c r="B10" s="18" t="s">
        <v>19</v>
      </c>
      <c r="C10" s="17" t="n">
        <v>75</v>
      </c>
      <c r="D10" s="17" t="n">
        <v>51</v>
      </c>
      <c r="E10" s="17" t="n">
        <v>38</v>
      </c>
      <c r="F10" s="17" t="n">
        <v>45</v>
      </c>
      <c r="G10" s="19" t="n">
        <v>79</v>
      </c>
      <c r="H10" s="20" t="s">
        <v>20</v>
      </c>
    </row>
    <row r="11" customFormat="false" ht="16.4" hidden="false" customHeight="false" outlineLevel="0" collapsed="false">
      <c r="A11" s="17" t="n">
        <v>3</v>
      </c>
      <c r="B11" s="18" t="s">
        <v>21</v>
      </c>
      <c r="C11" s="17" t="n">
        <v>70</v>
      </c>
      <c r="D11" s="17" t="n">
        <v>45</v>
      </c>
      <c r="E11" s="17" t="n">
        <v>40.5</v>
      </c>
      <c r="F11" s="17" t="n">
        <v>47</v>
      </c>
      <c r="G11" s="19" t="n">
        <v>79</v>
      </c>
      <c r="H11" s="20" t="s">
        <v>18</v>
      </c>
    </row>
    <row r="12" customFormat="false" ht="16.4" hidden="false" customHeight="false" outlineLevel="0" collapsed="false">
      <c r="A12" s="17" t="n">
        <v>4</v>
      </c>
      <c r="B12" s="18" t="s">
        <v>22</v>
      </c>
      <c r="C12" s="17" t="n">
        <v>77</v>
      </c>
      <c r="D12" s="17" t="n">
        <v>59</v>
      </c>
      <c r="E12" s="17" t="n">
        <v>34</v>
      </c>
      <c r="F12" s="17" t="n">
        <v>44</v>
      </c>
      <c r="G12" s="19" t="n">
        <v>77.5</v>
      </c>
      <c r="H12" s="20" t="s">
        <v>18</v>
      </c>
    </row>
    <row r="13" customFormat="false" ht="16.4" hidden="false" customHeight="false" outlineLevel="0" collapsed="false">
      <c r="A13" s="17" t="n">
        <v>5</v>
      </c>
      <c r="B13" s="18" t="s">
        <v>8</v>
      </c>
      <c r="C13" s="17" t="n">
        <v>78</v>
      </c>
      <c r="D13" s="17" t="n">
        <v>60</v>
      </c>
      <c r="E13" s="17" t="n">
        <v>33</v>
      </c>
      <c r="F13" s="17" t="n">
        <v>44</v>
      </c>
      <c r="G13" s="19" t="n">
        <v>77.5</v>
      </c>
      <c r="H13" s="20" t="s">
        <v>18</v>
      </c>
    </row>
    <row r="14" customFormat="false" ht="16.4" hidden="false" customHeight="false" outlineLevel="0" collapsed="false">
      <c r="A14" s="17" t="n">
        <v>6</v>
      </c>
      <c r="B14" s="18" t="s">
        <v>23</v>
      </c>
      <c r="C14" s="17" t="n">
        <v>67</v>
      </c>
      <c r="D14" s="17" t="n">
        <v>46</v>
      </c>
      <c r="E14" s="17" t="n">
        <v>36.25</v>
      </c>
      <c r="F14" s="17" t="n">
        <v>45</v>
      </c>
      <c r="G14" s="19" t="n">
        <v>74</v>
      </c>
      <c r="H14" s="20" t="s">
        <v>24</v>
      </c>
    </row>
    <row r="15" customFormat="false" ht="16.4" hidden="false" customHeight="false" outlineLevel="0" collapsed="false">
      <c r="A15" s="17" t="n">
        <v>7</v>
      </c>
      <c r="B15" s="18" t="s">
        <v>25</v>
      </c>
      <c r="C15" s="17" t="n">
        <v>65</v>
      </c>
      <c r="D15" s="17" t="n">
        <v>48</v>
      </c>
      <c r="E15" s="17" t="n">
        <v>29</v>
      </c>
      <c r="F15" s="17" t="n">
        <v>50</v>
      </c>
      <c r="G15" s="19" t="n">
        <v>72</v>
      </c>
      <c r="H15" s="20" t="s">
        <v>24</v>
      </c>
    </row>
    <row r="16" customFormat="false" ht="16.4" hidden="false" customHeight="false" outlineLevel="0" collapsed="false">
      <c r="A16" s="17" t="n">
        <v>8</v>
      </c>
      <c r="B16" s="18" t="s">
        <v>26</v>
      </c>
      <c r="C16" s="17" t="n">
        <v>67</v>
      </c>
      <c r="D16" s="17" t="n">
        <v>43</v>
      </c>
      <c r="E16" s="17" t="n">
        <v>27.75</v>
      </c>
      <c r="F16" s="17" t="n">
        <v>43</v>
      </c>
      <c r="G16" s="19" t="n">
        <v>69</v>
      </c>
      <c r="H16" s="20" t="s">
        <v>27</v>
      </c>
    </row>
    <row r="17" customFormat="false" ht="16.4" hidden="false" customHeight="false" outlineLevel="0" collapsed="false">
      <c r="A17" s="17" t="n">
        <v>9</v>
      </c>
      <c r="B17" s="18" t="s">
        <v>28</v>
      </c>
      <c r="C17" s="17" t="n">
        <v>67</v>
      </c>
      <c r="D17" s="17" t="n">
        <v>50</v>
      </c>
      <c r="E17" s="17" t="n">
        <v>27.75</v>
      </c>
      <c r="F17" s="17" t="n">
        <v>39.5</v>
      </c>
      <c r="G17" s="19" t="n">
        <v>67</v>
      </c>
      <c r="H17" s="20" t="s">
        <v>24</v>
      </c>
    </row>
    <row r="18" customFormat="false" ht="16.4" hidden="false" customHeight="false" outlineLevel="0" collapsed="false">
      <c r="A18" s="17" t="n">
        <v>10</v>
      </c>
      <c r="B18" s="18" t="s">
        <v>29</v>
      </c>
      <c r="C18" s="17" t="n">
        <v>60</v>
      </c>
      <c r="D18" s="17" t="n">
        <v>55</v>
      </c>
      <c r="E18" s="17" t="n">
        <v>29.25</v>
      </c>
      <c r="F18" s="17" t="n">
        <v>38</v>
      </c>
      <c r="G18" s="19" t="n">
        <v>63.5</v>
      </c>
      <c r="H18" s="20" t="s">
        <v>24</v>
      </c>
    </row>
    <row r="19" customFormat="false" ht="16.4" hidden="false" customHeight="false" outlineLevel="0" collapsed="false">
      <c r="A19" s="17" t="n">
        <v>11</v>
      </c>
      <c r="B19" s="18" t="s">
        <v>30</v>
      </c>
      <c r="C19" s="17" t="n">
        <v>28</v>
      </c>
      <c r="D19" s="17" t="n">
        <v>33</v>
      </c>
      <c r="E19" s="17" t="n">
        <v>25</v>
      </c>
      <c r="F19" s="17" t="n">
        <v>25</v>
      </c>
      <c r="G19" s="19" t="n">
        <v>53</v>
      </c>
      <c r="H19" s="20" t="s">
        <v>24</v>
      </c>
    </row>
    <row r="20" customFormat="false" ht="16.4" hidden="false" customHeight="false" outlineLevel="0" collapsed="false">
      <c r="A20" s="17" t="n">
        <v>12</v>
      </c>
      <c r="B20" s="18" t="s">
        <v>31</v>
      </c>
      <c r="C20" s="17" t="n">
        <v>25</v>
      </c>
      <c r="D20" s="17" t="n">
        <v>34</v>
      </c>
      <c r="E20" s="17" t="n">
        <v>25</v>
      </c>
      <c r="F20" s="17" t="n">
        <v>25</v>
      </c>
      <c r="G20" s="19" t="n">
        <v>50</v>
      </c>
      <c r="H20" s="20" t="s">
        <v>24</v>
      </c>
    </row>
    <row r="22" customFormat="false" ht="15" hidden="false" customHeight="false" outlineLevel="0" collapsed="false">
      <c r="A22" s="21" t="s">
        <v>32</v>
      </c>
    </row>
    <row r="23" customFormat="false" ht="15" hidden="false" customHeight="false" outlineLevel="0" collapsed="false">
      <c r="A23" s="22" t="s">
        <v>33</v>
      </c>
    </row>
    <row r="24" customFormat="false" ht="15" hidden="false" customHeight="false" outlineLevel="0" collapsed="false">
      <c r="A24" s="22" t="s">
        <v>34</v>
      </c>
    </row>
    <row r="25" customFormat="false" ht="15" hidden="false" customHeight="false" outlineLevel="0" collapsed="false">
      <c r="A25" s="22" t="s">
        <v>35</v>
      </c>
    </row>
    <row r="26" customFormat="false" ht="15" hidden="false" customHeight="false" outlineLevel="0" collapsed="false">
      <c r="A26" s="22" t="s">
        <v>36</v>
      </c>
    </row>
    <row r="27" customFormat="false" ht="15" hidden="false" customHeight="false" outlineLevel="0" collapsed="false">
      <c r="A27" s="22" t="s">
        <v>37</v>
      </c>
    </row>
    <row r="29" customFormat="false" ht="15" hidden="false" customHeight="false" outlineLevel="0" collapsed="false">
      <c r="A29" s="23" t="s">
        <v>38</v>
      </c>
      <c r="B29" s="23"/>
      <c r="C29" s="23"/>
      <c r="D29" s="23"/>
      <c r="E29" s="23"/>
      <c r="F29" s="23"/>
      <c r="G29" s="23"/>
      <c r="H29" s="23"/>
    </row>
  </sheetData>
  <mergeCells count="16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H7"/>
    <mergeCell ref="A29:H29"/>
  </mergeCells>
  <conditionalFormatting sqref="G9:G20">
    <cfRule type="colorScale" priority="2">
      <colorScale>
        <cfvo type="num" val="40"/>
        <cfvo type="num" val="70"/>
        <cfvo type="num" val="90"/>
        <color rgb="FFF1948A"/>
        <color rgb="FFF9E79F"/>
        <color rgb="FF82E0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7" min="4" style="0" width="1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24" t="s">
        <v>39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5" hidden="false" customHeight="false" outlineLevel="0" collapsed="false">
      <c r="A2" s="25" t="s">
        <v>40</v>
      </c>
    </row>
    <row r="3" customFormat="false" ht="27.75" hidden="false" customHeight="true" outlineLevel="0" collapsed="false">
      <c r="A3" s="16" t="s">
        <v>41</v>
      </c>
      <c r="B3" s="16" t="s">
        <v>11</v>
      </c>
      <c r="C3" s="16" t="s">
        <v>42</v>
      </c>
      <c r="D3" s="16" t="s">
        <v>43</v>
      </c>
      <c r="E3" s="16" t="s">
        <v>4</v>
      </c>
      <c r="F3" s="16" t="s">
        <v>13</v>
      </c>
      <c r="G3" s="16" t="s">
        <v>14</v>
      </c>
      <c r="H3" s="16" t="s">
        <v>44</v>
      </c>
      <c r="I3" s="16" t="s">
        <v>45</v>
      </c>
      <c r="J3" s="16" t="s">
        <v>46</v>
      </c>
    </row>
    <row r="4" customFormat="false" ht="15" hidden="false" customHeight="false" outlineLevel="0" collapsed="false">
      <c r="A4" s="17" t="n">
        <v>1</v>
      </c>
      <c r="B4" s="18" t="s">
        <v>28</v>
      </c>
      <c r="C4" s="17" t="s">
        <v>47</v>
      </c>
      <c r="D4" s="17" t="n">
        <v>67</v>
      </c>
      <c r="E4" s="17" t="n">
        <v>50</v>
      </c>
      <c r="F4" s="17" t="n">
        <v>27.75</v>
      </c>
      <c r="G4" s="17" t="n">
        <v>39.5</v>
      </c>
      <c r="H4" s="26" t="s">
        <v>48</v>
      </c>
      <c r="I4" s="26" t="s">
        <v>49</v>
      </c>
      <c r="J4" s="27" t="s">
        <v>50</v>
      </c>
    </row>
    <row r="5" customFormat="false" ht="15" hidden="false" customHeight="false" outlineLevel="0" collapsed="false">
      <c r="A5" s="17" t="n">
        <v>2</v>
      </c>
      <c r="B5" s="18" t="s">
        <v>17</v>
      </c>
      <c r="C5" s="17" t="s">
        <v>51</v>
      </c>
      <c r="D5" s="17" t="n">
        <v>79</v>
      </c>
      <c r="E5" s="17" t="n">
        <v>52</v>
      </c>
      <c r="F5" s="17" t="n">
        <v>37</v>
      </c>
      <c r="G5" s="17" t="n">
        <v>47.5</v>
      </c>
      <c r="H5" s="26" t="s">
        <v>52</v>
      </c>
      <c r="I5" s="26" t="s">
        <v>53</v>
      </c>
      <c r="J5" s="27" t="s">
        <v>54</v>
      </c>
    </row>
    <row r="6" customFormat="false" ht="15" hidden="false" customHeight="false" outlineLevel="0" collapsed="false">
      <c r="A6" s="17" t="n">
        <v>3</v>
      </c>
      <c r="B6" s="18" t="s">
        <v>19</v>
      </c>
      <c r="C6" s="17" t="s">
        <v>55</v>
      </c>
      <c r="D6" s="17" t="n">
        <v>79</v>
      </c>
      <c r="E6" s="17" t="n">
        <v>51</v>
      </c>
      <c r="F6" s="17" t="n">
        <v>38</v>
      </c>
      <c r="G6" s="17" t="n">
        <v>45</v>
      </c>
      <c r="H6" s="26" t="s">
        <v>52</v>
      </c>
      <c r="I6" s="26" t="s">
        <v>56</v>
      </c>
      <c r="J6" s="27" t="s">
        <v>57</v>
      </c>
    </row>
    <row r="7" customFormat="false" ht="15" hidden="false" customHeight="false" outlineLevel="0" collapsed="false">
      <c r="A7" s="17" t="n">
        <v>4</v>
      </c>
      <c r="B7" s="18" t="s">
        <v>22</v>
      </c>
      <c r="C7" s="17" t="s">
        <v>51</v>
      </c>
      <c r="D7" s="17" t="n">
        <v>77.5</v>
      </c>
      <c r="E7" s="17" t="n">
        <v>59</v>
      </c>
      <c r="F7" s="17" t="n">
        <v>34</v>
      </c>
      <c r="G7" s="17" t="n">
        <v>44</v>
      </c>
      <c r="H7" s="26" t="s">
        <v>58</v>
      </c>
      <c r="I7" s="26" t="s">
        <v>53</v>
      </c>
      <c r="J7" s="27" t="s">
        <v>59</v>
      </c>
    </row>
    <row r="8" customFormat="false" ht="15" hidden="false" customHeight="false" outlineLevel="0" collapsed="false">
      <c r="A8" s="17" t="n">
        <v>5</v>
      </c>
      <c r="B8" s="18" t="s">
        <v>29</v>
      </c>
      <c r="C8" s="17" t="s">
        <v>47</v>
      </c>
      <c r="D8" s="17" t="n">
        <v>63.5</v>
      </c>
      <c r="E8" s="17" t="n">
        <v>55</v>
      </c>
      <c r="F8" s="17" t="n">
        <v>29.25</v>
      </c>
      <c r="G8" s="17" t="n">
        <v>38</v>
      </c>
      <c r="H8" s="26" t="s">
        <v>52</v>
      </c>
      <c r="I8" s="26" t="s">
        <v>49</v>
      </c>
      <c r="J8" s="27" t="s">
        <v>60</v>
      </c>
    </row>
    <row r="9" customFormat="false" ht="15" hidden="false" customHeight="false" outlineLevel="0" collapsed="false">
      <c r="A9" s="17" t="n">
        <v>6</v>
      </c>
      <c r="B9" s="18" t="s">
        <v>26</v>
      </c>
      <c r="C9" s="17" t="s">
        <v>61</v>
      </c>
      <c r="D9" s="17" t="n">
        <v>69</v>
      </c>
      <c r="E9" s="17" t="n">
        <v>43</v>
      </c>
      <c r="F9" s="17" t="n">
        <v>27.75</v>
      </c>
      <c r="G9" s="17" t="n">
        <v>43</v>
      </c>
      <c r="H9" s="26" t="s">
        <v>52</v>
      </c>
      <c r="I9" s="26" t="s">
        <v>62</v>
      </c>
      <c r="J9" s="27" t="s">
        <v>63</v>
      </c>
    </row>
    <row r="10" customFormat="false" ht="15" hidden="false" customHeight="false" outlineLevel="0" collapsed="false">
      <c r="A10" s="17" t="n">
        <v>7</v>
      </c>
      <c r="B10" s="18" t="s">
        <v>8</v>
      </c>
      <c r="C10" s="17" t="s">
        <v>51</v>
      </c>
      <c r="D10" s="17" t="n">
        <v>77.5</v>
      </c>
      <c r="E10" s="17" t="n">
        <v>60</v>
      </c>
      <c r="F10" s="17" t="n">
        <v>33</v>
      </c>
      <c r="G10" s="17" t="n">
        <v>44</v>
      </c>
      <c r="H10" s="26" t="s">
        <v>64</v>
      </c>
      <c r="I10" s="26" t="s">
        <v>53</v>
      </c>
      <c r="J10" s="27" t="s">
        <v>65</v>
      </c>
    </row>
    <row r="11" customFormat="false" ht="15" hidden="false" customHeight="false" outlineLevel="0" collapsed="false">
      <c r="A11" s="17" t="n">
        <v>8</v>
      </c>
      <c r="B11" s="18" t="s">
        <v>25</v>
      </c>
      <c r="C11" s="17" t="s">
        <v>47</v>
      </c>
      <c r="D11" s="17" t="n">
        <v>72</v>
      </c>
      <c r="E11" s="17" t="n">
        <v>48</v>
      </c>
      <c r="F11" s="17" t="n">
        <v>29</v>
      </c>
      <c r="G11" s="17" t="n">
        <v>50</v>
      </c>
      <c r="H11" s="26" t="s">
        <v>52</v>
      </c>
      <c r="I11" s="26" t="s">
        <v>49</v>
      </c>
      <c r="J11" s="27" t="s">
        <v>66</v>
      </c>
    </row>
    <row r="12" customFormat="false" ht="15" hidden="false" customHeight="false" outlineLevel="0" collapsed="false">
      <c r="A12" s="17" t="n">
        <v>9</v>
      </c>
      <c r="B12" s="18" t="s">
        <v>23</v>
      </c>
      <c r="C12" s="17" t="s">
        <v>47</v>
      </c>
      <c r="D12" s="17" t="n">
        <v>74</v>
      </c>
      <c r="E12" s="17" t="n">
        <v>46</v>
      </c>
      <c r="F12" s="17" t="n">
        <v>36.25</v>
      </c>
      <c r="G12" s="17" t="n">
        <v>45</v>
      </c>
      <c r="H12" s="26" t="s">
        <v>52</v>
      </c>
      <c r="I12" s="26" t="s">
        <v>49</v>
      </c>
      <c r="J12" s="27" t="s">
        <v>67</v>
      </c>
    </row>
    <row r="13" customFormat="false" ht="15" hidden="false" customHeight="false" outlineLevel="0" collapsed="false">
      <c r="A13" s="17" t="n">
        <v>10</v>
      </c>
      <c r="B13" s="18" t="s">
        <v>21</v>
      </c>
      <c r="C13" s="17" t="s">
        <v>51</v>
      </c>
      <c r="D13" s="17" t="n">
        <v>79</v>
      </c>
      <c r="E13" s="17" t="n">
        <v>45</v>
      </c>
      <c r="F13" s="17" t="n">
        <v>40.5</v>
      </c>
      <c r="G13" s="17" t="n">
        <v>47</v>
      </c>
      <c r="H13" s="26" t="s">
        <v>68</v>
      </c>
      <c r="I13" s="26" t="s">
        <v>53</v>
      </c>
      <c r="J13" s="27" t="s">
        <v>69</v>
      </c>
    </row>
    <row r="14" customFormat="false" ht="15" hidden="false" customHeight="false" outlineLevel="0" collapsed="false">
      <c r="A14" s="17" t="n">
        <v>11</v>
      </c>
      <c r="B14" s="18" t="s">
        <v>30</v>
      </c>
      <c r="C14" s="17" t="s">
        <v>47</v>
      </c>
      <c r="D14" s="17" t="n">
        <v>53</v>
      </c>
      <c r="E14" s="17" t="n">
        <v>33</v>
      </c>
      <c r="F14" s="17" t="n">
        <v>25</v>
      </c>
      <c r="G14" s="17" t="n">
        <v>25</v>
      </c>
      <c r="H14" s="26" t="s">
        <v>52</v>
      </c>
      <c r="I14" s="26" t="s">
        <v>49</v>
      </c>
      <c r="J14" s="27" t="s">
        <v>70</v>
      </c>
    </row>
    <row r="15" customFormat="false" ht="15" hidden="false" customHeight="false" outlineLevel="0" collapsed="false">
      <c r="A15" s="17" t="n">
        <v>12</v>
      </c>
      <c r="B15" s="18" t="s">
        <v>31</v>
      </c>
      <c r="C15" s="17" t="s">
        <v>47</v>
      </c>
      <c r="D15" s="17" t="n">
        <v>50</v>
      </c>
      <c r="E15" s="17" t="n">
        <v>34</v>
      </c>
      <c r="F15" s="17" t="n">
        <v>25</v>
      </c>
      <c r="G15" s="17" t="n">
        <v>25</v>
      </c>
      <c r="H15" s="26" t="s">
        <v>52</v>
      </c>
      <c r="I15" s="26" t="s">
        <v>49</v>
      </c>
      <c r="J15" s="27" t="s">
        <v>71</v>
      </c>
    </row>
  </sheetData>
  <mergeCells count="1">
    <mergeCell ref="A1:J1"/>
  </mergeCells>
  <conditionalFormatting sqref="D4:D15">
    <cfRule type="colorScale" priority="2">
      <colorScale>
        <cfvo type="num" val="40"/>
        <cfvo type="num" val="70"/>
        <cfvo type="num" val="90"/>
        <color rgb="FFF1948A"/>
        <color rgb="FFF9E79F"/>
        <color rgb="FF82E0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3" min="11" style="0" width="10"/>
    <col collapsed="false" customWidth="true" hidden="false" outlineLevel="0" max="14" min="14" style="0" width="11"/>
  </cols>
  <sheetData>
    <row r="1" customFormat="false" ht="19.7" hidden="false" customHeight="false" outlineLevel="0" collapsed="false">
      <c r="A1" s="24" t="s">
        <v>72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11.9" hidden="false" customHeight="false" outlineLevel="0" collapsed="false">
      <c r="A2" s="28" t="s">
        <v>73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4" customFormat="false" ht="15" hidden="false" customHeight="false" outlineLevel="0" collapsed="false">
      <c r="A4" s="21" t="s">
        <v>74</v>
      </c>
      <c r="B4" s="29" t="s">
        <v>75</v>
      </c>
      <c r="C4" s="30" t="s">
        <v>76</v>
      </c>
    </row>
    <row r="6" customFormat="false" ht="34.5" hidden="false" customHeight="true" outlineLevel="0" collapsed="false">
      <c r="A6" s="16" t="s">
        <v>41</v>
      </c>
      <c r="B6" s="16" t="s">
        <v>77</v>
      </c>
      <c r="C6" s="16" t="s">
        <v>78</v>
      </c>
      <c r="D6" s="16" t="s">
        <v>79</v>
      </c>
      <c r="E6" s="16" t="s">
        <v>80</v>
      </c>
      <c r="F6" s="16" t="s">
        <v>81</v>
      </c>
      <c r="G6" s="16" t="s">
        <v>82</v>
      </c>
      <c r="H6" s="16" t="s">
        <v>83</v>
      </c>
      <c r="I6" s="16" t="s">
        <v>84</v>
      </c>
      <c r="J6" s="16" t="s">
        <v>85</v>
      </c>
      <c r="K6" s="16" t="s">
        <v>86</v>
      </c>
      <c r="L6" s="16" t="s">
        <v>87</v>
      </c>
      <c r="M6" s="16" t="s">
        <v>88</v>
      </c>
      <c r="N6" s="16" t="s">
        <v>89</v>
      </c>
    </row>
    <row r="7" customFormat="false" ht="15" hidden="false" customHeight="false" outlineLevel="0" collapsed="false">
      <c r="A7" s="17" t="n">
        <v>1</v>
      </c>
      <c r="B7" s="18" t="s">
        <v>28</v>
      </c>
      <c r="C7" s="31" t="n">
        <v>38</v>
      </c>
      <c r="D7" s="31" t="n">
        <v>23</v>
      </c>
      <c r="E7" s="31" t="n">
        <v>5</v>
      </c>
      <c r="F7" s="31" t="n">
        <v>0</v>
      </c>
      <c r="G7" s="31" t="n">
        <v>10</v>
      </c>
      <c r="H7" s="31" t="n">
        <v>7</v>
      </c>
      <c r="I7" s="31" t="n">
        <v>8</v>
      </c>
      <c r="J7" s="31" t="n">
        <v>0</v>
      </c>
      <c r="K7" s="31" t="n">
        <v>10</v>
      </c>
      <c r="L7" s="32" t="n">
        <f aca="false">SUM(C7:K7)</f>
        <v>101</v>
      </c>
      <c r="M7" s="31" t="n">
        <v>60</v>
      </c>
      <c r="N7" s="33" t="n">
        <f aca="false">IF(COUNTA(C7:K7)=0,"",ROUND(AVERAGE(L7,M7),1))</f>
        <v>80.5</v>
      </c>
    </row>
    <row r="8" customFormat="false" ht="15" hidden="false" customHeight="false" outlineLevel="0" collapsed="false">
      <c r="A8" s="17" t="n">
        <v>2</v>
      </c>
      <c r="B8" s="18" t="s">
        <v>17</v>
      </c>
      <c r="C8" s="31" t="n">
        <v>38</v>
      </c>
      <c r="D8" s="31" t="n">
        <v>28</v>
      </c>
      <c r="E8" s="31" t="n">
        <v>10</v>
      </c>
      <c r="F8" s="31" t="n">
        <v>0</v>
      </c>
      <c r="G8" s="31" t="n">
        <v>10</v>
      </c>
      <c r="H8" s="31" t="n">
        <v>6</v>
      </c>
      <c r="I8" s="31" t="n">
        <v>6</v>
      </c>
      <c r="J8" s="31" t="n">
        <v>0</v>
      </c>
      <c r="K8" s="31" t="n">
        <v>0</v>
      </c>
      <c r="L8" s="32" t="n">
        <f aca="false">SUM(C8:K8)</f>
        <v>98</v>
      </c>
      <c r="M8" s="31" t="n">
        <v>60</v>
      </c>
      <c r="N8" s="33" t="n">
        <f aca="false">IF(COUNTA(C8:K8)=0,"",ROUND(AVERAGE(L8,M8),1))</f>
        <v>79</v>
      </c>
    </row>
    <row r="9" customFormat="false" ht="15" hidden="false" customHeight="false" outlineLevel="0" collapsed="false">
      <c r="A9" s="17" t="n">
        <v>3</v>
      </c>
      <c r="B9" s="18" t="s">
        <v>19</v>
      </c>
      <c r="C9" s="31" t="n">
        <v>35</v>
      </c>
      <c r="D9" s="31" t="n">
        <v>33</v>
      </c>
      <c r="E9" s="31" t="n">
        <v>10</v>
      </c>
      <c r="F9" s="31" t="n">
        <v>5</v>
      </c>
      <c r="G9" s="31" t="n">
        <v>0</v>
      </c>
      <c r="H9" s="31" t="n">
        <v>7</v>
      </c>
      <c r="I9" s="31" t="n">
        <v>8</v>
      </c>
      <c r="J9" s="31" t="n">
        <v>5</v>
      </c>
      <c r="K9" s="31" t="n">
        <v>10</v>
      </c>
      <c r="L9" s="32" t="n">
        <f aca="false">SUM(C9:K9)</f>
        <v>113</v>
      </c>
      <c r="M9" s="31" t="n">
        <v>60</v>
      </c>
      <c r="N9" s="33" t="n">
        <f aca="false">IF(COUNTA(C9:K9)=0,"",ROUND(AVERAGE(L9,M9),1))</f>
        <v>86.5</v>
      </c>
    </row>
    <row r="10" customFormat="false" ht="15" hidden="false" customHeight="false" outlineLevel="0" collapsed="false">
      <c r="A10" s="17" t="n">
        <v>4</v>
      </c>
      <c r="B10" s="18" t="s">
        <v>22</v>
      </c>
      <c r="C10" s="31" t="n">
        <v>22</v>
      </c>
      <c r="D10" s="31" t="n">
        <v>35</v>
      </c>
      <c r="E10" s="31" t="n">
        <v>5</v>
      </c>
      <c r="F10" s="31" t="n">
        <v>0</v>
      </c>
      <c r="G10" s="31" t="n">
        <v>10</v>
      </c>
      <c r="H10" s="31" t="n">
        <v>5</v>
      </c>
      <c r="I10" s="31" t="n">
        <v>8</v>
      </c>
      <c r="J10" s="31" t="n">
        <v>0</v>
      </c>
      <c r="K10" s="31" t="n">
        <v>10</v>
      </c>
      <c r="L10" s="32" t="n">
        <f aca="false">SUM(C10:K10)</f>
        <v>95</v>
      </c>
      <c r="M10" s="31" t="n">
        <v>60</v>
      </c>
      <c r="N10" s="33" t="n">
        <f aca="false">IF(COUNTA(C10:K10)=0,"",ROUND(AVERAGE(L10,M10),1))</f>
        <v>77.5</v>
      </c>
    </row>
    <row r="11" customFormat="false" ht="15" hidden="false" customHeight="false" outlineLevel="0" collapsed="false">
      <c r="A11" s="17" t="n">
        <v>5</v>
      </c>
      <c r="B11" s="18" t="s">
        <v>29</v>
      </c>
      <c r="C11" s="31" t="n">
        <v>23</v>
      </c>
      <c r="D11" s="31" t="n">
        <v>29</v>
      </c>
      <c r="E11" s="31" t="n">
        <v>5</v>
      </c>
      <c r="F11" s="31" t="n">
        <v>0</v>
      </c>
      <c r="G11" s="31" t="n">
        <v>0</v>
      </c>
      <c r="H11" s="31" t="n">
        <v>0</v>
      </c>
      <c r="I11" s="31" t="n">
        <v>8</v>
      </c>
      <c r="J11" s="31" t="n">
        <v>5</v>
      </c>
      <c r="K11" s="31" t="n">
        <v>10</v>
      </c>
      <c r="L11" s="32" t="n">
        <f aca="false">SUM(C11:K11)</f>
        <v>80</v>
      </c>
      <c r="M11" s="31" t="n">
        <v>45</v>
      </c>
      <c r="N11" s="33" t="n">
        <f aca="false">IF(COUNTA(C11:K11)=0,"",ROUND(AVERAGE(L11,M11),1))</f>
        <v>62.5</v>
      </c>
    </row>
    <row r="12" customFormat="false" ht="15" hidden="false" customHeight="false" outlineLevel="0" collapsed="false">
      <c r="A12" s="17" t="n">
        <v>6</v>
      </c>
      <c r="B12" s="18" t="s">
        <v>26</v>
      </c>
      <c r="C12" s="31" t="n">
        <v>20</v>
      </c>
      <c r="D12" s="31" t="n">
        <v>20</v>
      </c>
      <c r="E12" s="31" t="n">
        <v>2.5</v>
      </c>
      <c r="F12" s="31" t="n">
        <v>5</v>
      </c>
      <c r="G12" s="31" t="n">
        <v>5</v>
      </c>
      <c r="H12" s="31" t="n">
        <v>3.5</v>
      </c>
      <c r="I12" s="31" t="n">
        <v>4</v>
      </c>
      <c r="J12" s="31" t="n">
        <v>5</v>
      </c>
      <c r="K12" s="31" t="n">
        <v>5</v>
      </c>
      <c r="L12" s="32" t="n">
        <f aca="false">SUM(C12:K12)</f>
        <v>70</v>
      </c>
      <c r="M12" s="31" t="n">
        <v>30</v>
      </c>
      <c r="N12" s="33" t="n">
        <f aca="false">IF(COUNTA(C12:K12)=0,"",ROUND(AVERAGE(L12,M12),1))</f>
        <v>50</v>
      </c>
    </row>
    <row r="13" customFormat="false" ht="15" hidden="false" customHeight="false" outlineLevel="0" collapsed="false">
      <c r="A13" s="17" t="n">
        <v>7</v>
      </c>
      <c r="B13" s="18" t="s">
        <v>8</v>
      </c>
      <c r="C13" s="31" t="n">
        <v>20</v>
      </c>
      <c r="D13" s="31" t="n">
        <v>38</v>
      </c>
      <c r="E13" s="31" t="n">
        <v>5</v>
      </c>
      <c r="F13" s="31" t="n">
        <v>5</v>
      </c>
      <c r="G13" s="31" t="n">
        <v>0</v>
      </c>
      <c r="H13" s="31" t="n">
        <v>6</v>
      </c>
      <c r="I13" s="31" t="n">
        <v>6</v>
      </c>
      <c r="J13" s="31" t="n">
        <v>0</v>
      </c>
      <c r="K13" s="31" t="n">
        <v>10</v>
      </c>
      <c r="L13" s="32" t="n">
        <f aca="false">SUM(C13:K13)</f>
        <v>90</v>
      </c>
      <c r="M13" s="31" t="n">
        <v>60</v>
      </c>
      <c r="N13" s="33" t="n">
        <f aca="false">IF(COUNTA(C13:K13)=0,"",ROUND(AVERAGE(L13,M13),1))</f>
        <v>75</v>
      </c>
    </row>
    <row r="14" customFormat="false" ht="15" hidden="false" customHeight="false" outlineLevel="0" collapsed="false">
      <c r="A14" s="17" t="n">
        <v>8</v>
      </c>
      <c r="B14" s="18" t="s">
        <v>25</v>
      </c>
      <c r="C14" s="31" t="n">
        <v>38</v>
      </c>
      <c r="D14" s="31" t="n">
        <v>35</v>
      </c>
      <c r="E14" s="31" t="n">
        <v>0</v>
      </c>
      <c r="F14" s="31" t="n">
        <v>5</v>
      </c>
      <c r="G14" s="31" t="n">
        <v>0</v>
      </c>
      <c r="H14" s="31" t="n">
        <v>2</v>
      </c>
      <c r="I14" s="31" t="n">
        <v>6</v>
      </c>
      <c r="J14" s="31" t="n">
        <v>5</v>
      </c>
      <c r="K14" s="31" t="n">
        <v>10</v>
      </c>
      <c r="L14" s="32" t="n">
        <f aca="false">SUM(C14:K14)</f>
        <v>101</v>
      </c>
      <c r="M14" s="31" t="n">
        <v>55</v>
      </c>
      <c r="N14" s="33" t="n">
        <f aca="false">IF(COUNTA(C14:K14)=0,"",ROUND(AVERAGE(L14,M14),1))</f>
        <v>78</v>
      </c>
    </row>
    <row r="15" customFormat="false" ht="15" hidden="false" customHeight="false" outlineLevel="0" collapsed="false">
      <c r="A15" s="17" t="n">
        <v>9</v>
      </c>
      <c r="B15" s="18" t="s">
        <v>23</v>
      </c>
      <c r="C15" s="31" t="n">
        <v>39</v>
      </c>
      <c r="D15" s="31" t="n">
        <v>21</v>
      </c>
      <c r="E15" s="31" t="n">
        <v>10</v>
      </c>
      <c r="F15" s="31" t="n">
        <v>0</v>
      </c>
      <c r="G15" s="31" t="n">
        <v>0</v>
      </c>
      <c r="H15" s="31" t="n">
        <v>5</v>
      </c>
      <c r="I15" s="31" t="n">
        <v>8</v>
      </c>
      <c r="J15" s="31" t="n">
        <v>5</v>
      </c>
      <c r="K15" s="31" t="n">
        <v>5</v>
      </c>
      <c r="L15" s="32" t="n">
        <f aca="false">SUM(C15:K15)</f>
        <v>93</v>
      </c>
      <c r="M15" s="31" t="n">
        <v>60</v>
      </c>
      <c r="N15" s="33" t="n">
        <f aca="false">IF(COUNTA(C15:K15)=0,"",ROUND(AVERAGE(L15,M15),1))</f>
        <v>76.5</v>
      </c>
    </row>
    <row r="16" customFormat="false" ht="15" hidden="false" customHeight="false" outlineLevel="0" collapsed="false">
      <c r="A16" s="17" t="n">
        <v>10</v>
      </c>
      <c r="B16" s="18" t="s">
        <v>21</v>
      </c>
      <c r="C16" s="31" t="n">
        <v>20</v>
      </c>
      <c r="D16" s="31" t="n">
        <v>20</v>
      </c>
      <c r="E16" s="31" t="n">
        <v>5</v>
      </c>
      <c r="F16" s="31" t="n">
        <v>2.5</v>
      </c>
      <c r="G16" s="31" t="n">
        <v>5</v>
      </c>
      <c r="H16" s="31" t="n">
        <v>3.5</v>
      </c>
      <c r="I16" s="31" t="n">
        <v>4</v>
      </c>
      <c r="J16" s="31" t="n">
        <v>5</v>
      </c>
      <c r="K16" s="31" t="n">
        <v>5</v>
      </c>
      <c r="L16" s="32" t="n">
        <f aca="false">SUM(C16:K16)</f>
        <v>70</v>
      </c>
      <c r="M16" s="31" t="n">
        <v>30</v>
      </c>
      <c r="N16" s="33" t="n">
        <f aca="false">IF(COUNTA(C16:K16)=0,"",ROUND(AVERAGE(L16,M16),1))</f>
        <v>50</v>
      </c>
    </row>
    <row r="17" customFormat="false" ht="15" hidden="false" customHeight="false" outlineLevel="0" collapsed="false">
      <c r="A17" s="17" t="n">
        <v>11</v>
      </c>
      <c r="B17" s="18" t="s">
        <v>30</v>
      </c>
      <c r="C17" s="31" t="n">
        <v>25</v>
      </c>
      <c r="D17" s="31" t="n">
        <v>38</v>
      </c>
      <c r="E17" s="31" t="n">
        <v>5</v>
      </c>
      <c r="F17" s="31" t="n">
        <v>5</v>
      </c>
      <c r="G17" s="31" t="n">
        <v>10</v>
      </c>
      <c r="H17" s="31" t="n">
        <v>7</v>
      </c>
      <c r="I17" s="31" t="n">
        <v>8</v>
      </c>
      <c r="J17" s="31" t="n">
        <v>5</v>
      </c>
      <c r="K17" s="31" t="n">
        <v>10</v>
      </c>
      <c r="L17" s="32" t="n">
        <f aca="false">SUM(C17:K17)</f>
        <v>113</v>
      </c>
      <c r="M17" s="31" t="n">
        <v>45</v>
      </c>
      <c r="N17" s="33" t="n">
        <f aca="false">IF(COUNTA(C17:K17)=0,"",ROUND(AVERAGE(L17,M17),1))</f>
        <v>79</v>
      </c>
    </row>
    <row r="18" customFormat="false" ht="15" hidden="false" customHeight="false" outlineLevel="0" collapsed="false">
      <c r="A18" s="17" t="n">
        <v>12</v>
      </c>
      <c r="B18" s="18" t="s">
        <v>31</v>
      </c>
      <c r="C18" s="31" t="n">
        <v>0</v>
      </c>
      <c r="D18" s="31" t="n">
        <v>21</v>
      </c>
      <c r="E18" s="31" t="n">
        <v>10</v>
      </c>
      <c r="F18" s="31" t="n">
        <v>0</v>
      </c>
      <c r="G18" s="31" t="n">
        <v>0</v>
      </c>
      <c r="H18" s="31" t="n">
        <v>4</v>
      </c>
      <c r="I18" s="31" t="n">
        <v>6</v>
      </c>
      <c r="J18" s="31" t="n">
        <v>0</v>
      </c>
      <c r="K18" s="31" t="n">
        <v>5</v>
      </c>
      <c r="L18" s="32" t="n">
        <f aca="false">SUM(C18:K18)</f>
        <v>46</v>
      </c>
      <c r="M18" s="31" t="n">
        <v>50</v>
      </c>
      <c r="N18" s="33" t="n">
        <f aca="false">IF(COUNTA(C18:K18)=0,"",ROUND(AVERAGE(L18,M18),1))</f>
        <v>48</v>
      </c>
    </row>
    <row r="20" customFormat="false" ht="15" hidden="false" customHeight="false" outlineLevel="0" collapsed="false">
      <c r="A20" s="21" t="s">
        <v>90</v>
      </c>
    </row>
    <row r="21" customFormat="false" ht="15" hidden="false" customHeight="false" outlineLevel="0" collapsed="false">
      <c r="A21" s="34" t="s">
        <v>91</v>
      </c>
    </row>
    <row r="22" customFormat="false" ht="15" hidden="false" customHeight="false" outlineLevel="0" collapsed="false">
      <c r="A22" s="34" t="s">
        <v>92</v>
      </c>
    </row>
    <row r="23" customFormat="false" ht="15" hidden="false" customHeight="false" outlineLevel="0" collapsed="false">
      <c r="A23" s="34" t="s">
        <v>93</v>
      </c>
    </row>
    <row r="24" customFormat="false" ht="15" hidden="false" customHeight="false" outlineLevel="0" collapsed="false">
      <c r="A24" s="34" t="s">
        <v>94</v>
      </c>
    </row>
    <row r="25" customFormat="false" ht="15" hidden="false" customHeight="false" outlineLevel="0" collapsed="false">
      <c r="A25" s="34" t="s">
        <v>95</v>
      </c>
    </row>
    <row r="26" customFormat="false" ht="15" hidden="false" customHeight="false" outlineLevel="0" collapsed="false">
      <c r="A26" s="34" t="s">
        <v>96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6" min="3" style="0" width="16"/>
    <col collapsed="false" customWidth="true" hidden="false" outlineLevel="0" max="7" min="7" style="0" width="28"/>
  </cols>
  <sheetData>
    <row r="1" customFormat="false" ht="19.7" hidden="false" customHeight="false" outlineLevel="0" collapsed="false">
      <c r="A1" s="24" t="s">
        <v>97</v>
      </c>
      <c r="B1" s="24"/>
      <c r="C1" s="24"/>
      <c r="D1" s="24"/>
      <c r="E1" s="24"/>
      <c r="F1" s="24"/>
      <c r="G1" s="24"/>
    </row>
    <row r="2" customFormat="false" ht="15" hidden="false" customHeight="false" outlineLevel="0" collapsed="false">
      <c r="A2" s="35" t="s">
        <v>98</v>
      </c>
    </row>
    <row r="4" customFormat="false" ht="16.4" hidden="false" customHeight="false" outlineLevel="0" collapsed="false">
      <c r="A4" s="36" t="s">
        <v>99</v>
      </c>
      <c r="B4" s="29" t="s">
        <v>100</v>
      </c>
    </row>
    <row r="6" customFormat="false" ht="26.85" hidden="false" customHeight="false" outlineLevel="0" collapsed="false">
      <c r="A6" s="16" t="s">
        <v>41</v>
      </c>
      <c r="B6" s="16" t="s">
        <v>77</v>
      </c>
      <c r="C6" s="16" t="s">
        <v>101</v>
      </c>
      <c r="D6" s="16" t="s">
        <v>102</v>
      </c>
      <c r="E6" s="16" t="s">
        <v>103</v>
      </c>
      <c r="F6" s="16" t="s">
        <v>104</v>
      </c>
      <c r="G6" s="16" t="s">
        <v>105</v>
      </c>
    </row>
    <row r="7" customFormat="false" ht="16.4" hidden="false" customHeight="false" outlineLevel="0" collapsed="false">
      <c r="A7" s="17" t="n">
        <v>1</v>
      </c>
      <c r="B7" s="18" t="s">
        <v>28</v>
      </c>
      <c r="C7" s="31" t="n">
        <v>27.75</v>
      </c>
      <c r="D7" s="31" t="n">
        <v>39.5</v>
      </c>
      <c r="E7" s="37" t="n">
        <f aca="false">C7+D7</f>
        <v>67.25</v>
      </c>
      <c r="F7" s="38" t="n">
        <v>50</v>
      </c>
      <c r="G7" s="20" t="s">
        <v>24</v>
      </c>
    </row>
    <row r="8" customFormat="false" ht="16.4" hidden="false" customHeight="false" outlineLevel="0" collapsed="false">
      <c r="A8" s="17" t="n">
        <v>2</v>
      </c>
      <c r="B8" s="18" t="s">
        <v>17</v>
      </c>
      <c r="C8" s="31" t="n">
        <v>37</v>
      </c>
      <c r="D8" s="31" t="n">
        <v>47.5</v>
      </c>
      <c r="E8" s="37" t="n">
        <f aca="false">C8+D8</f>
        <v>84.5</v>
      </c>
      <c r="F8" s="38" t="n">
        <v>52</v>
      </c>
      <c r="G8" s="20" t="s">
        <v>18</v>
      </c>
    </row>
    <row r="9" customFormat="false" ht="16.4" hidden="false" customHeight="false" outlineLevel="0" collapsed="false">
      <c r="A9" s="17" t="n">
        <v>3</v>
      </c>
      <c r="B9" s="18" t="s">
        <v>19</v>
      </c>
      <c r="C9" s="31" t="n">
        <v>38</v>
      </c>
      <c r="D9" s="31" t="n">
        <v>45</v>
      </c>
      <c r="E9" s="37" t="n">
        <f aca="false">C9+D9</f>
        <v>83</v>
      </c>
      <c r="F9" s="38" t="n">
        <v>51</v>
      </c>
      <c r="G9" s="20" t="s">
        <v>20</v>
      </c>
    </row>
    <row r="10" customFormat="false" ht="16.4" hidden="false" customHeight="false" outlineLevel="0" collapsed="false">
      <c r="A10" s="17" t="n">
        <v>4</v>
      </c>
      <c r="B10" s="18" t="s">
        <v>22</v>
      </c>
      <c r="C10" s="31" t="n">
        <v>34</v>
      </c>
      <c r="D10" s="31" t="n">
        <v>44</v>
      </c>
      <c r="E10" s="37" t="n">
        <f aca="false">C10+D10</f>
        <v>78</v>
      </c>
      <c r="F10" s="38" t="n">
        <v>59</v>
      </c>
      <c r="G10" s="20" t="s">
        <v>18</v>
      </c>
    </row>
    <row r="11" customFormat="false" ht="16.4" hidden="false" customHeight="false" outlineLevel="0" collapsed="false">
      <c r="A11" s="17" t="n">
        <v>5</v>
      </c>
      <c r="B11" s="18" t="s">
        <v>29</v>
      </c>
      <c r="C11" s="31" t="n">
        <v>29.25</v>
      </c>
      <c r="D11" s="31" t="n">
        <v>38</v>
      </c>
      <c r="E11" s="37" t="n">
        <f aca="false">C11+D11</f>
        <v>67.25</v>
      </c>
      <c r="F11" s="38" t="n">
        <v>55</v>
      </c>
      <c r="G11" s="20" t="s">
        <v>24</v>
      </c>
    </row>
    <row r="12" customFormat="false" ht="16.4" hidden="false" customHeight="false" outlineLevel="0" collapsed="false">
      <c r="A12" s="17" t="n">
        <v>6</v>
      </c>
      <c r="B12" s="18" t="s">
        <v>26</v>
      </c>
      <c r="C12" s="31" t="n">
        <v>27.75</v>
      </c>
      <c r="D12" s="31" t="n">
        <v>43</v>
      </c>
      <c r="E12" s="37" t="n">
        <f aca="false">C12+D12</f>
        <v>70.75</v>
      </c>
      <c r="F12" s="38" t="n">
        <v>43</v>
      </c>
      <c r="G12" s="20" t="s">
        <v>27</v>
      </c>
    </row>
    <row r="13" customFormat="false" ht="16.4" hidden="false" customHeight="false" outlineLevel="0" collapsed="false">
      <c r="A13" s="17" t="n">
        <v>7</v>
      </c>
      <c r="B13" s="18" t="s">
        <v>8</v>
      </c>
      <c r="C13" s="31" t="n">
        <v>33</v>
      </c>
      <c r="D13" s="31" t="n">
        <v>44</v>
      </c>
      <c r="E13" s="37" t="n">
        <f aca="false">C13+D13</f>
        <v>77</v>
      </c>
      <c r="F13" s="38" t="n">
        <v>60</v>
      </c>
      <c r="G13" s="20" t="s">
        <v>18</v>
      </c>
    </row>
    <row r="14" customFormat="false" ht="16.4" hidden="false" customHeight="false" outlineLevel="0" collapsed="false">
      <c r="A14" s="17" t="n">
        <v>8</v>
      </c>
      <c r="B14" s="18" t="s">
        <v>25</v>
      </c>
      <c r="C14" s="31" t="n">
        <v>29</v>
      </c>
      <c r="D14" s="31" t="n">
        <v>50</v>
      </c>
      <c r="E14" s="37" t="n">
        <f aca="false">C14+D14</f>
        <v>79</v>
      </c>
      <c r="F14" s="38" t="n">
        <v>48</v>
      </c>
      <c r="G14" s="20" t="s">
        <v>24</v>
      </c>
    </row>
    <row r="15" customFormat="false" ht="16.4" hidden="false" customHeight="false" outlineLevel="0" collapsed="false">
      <c r="A15" s="17" t="n">
        <v>9</v>
      </c>
      <c r="B15" s="18" t="s">
        <v>23</v>
      </c>
      <c r="C15" s="31" t="n">
        <v>36.25</v>
      </c>
      <c r="D15" s="31" t="n">
        <v>45</v>
      </c>
      <c r="E15" s="37" t="n">
        <f aca="false">C15+D15</f>
        <v>81.25</v>
      </c>
      <c r="F15" s="38" t="n">
        <v>46</v>
      </c>
      <c r="G15" s="20" t="s">
        <v>24</v>
      </c>
    </row>
    <row r="16" customFormat="false" ht="16.4" hidden="false" customHeight="false" outlineLevel="0" collapsed="false">
      <c r="A16" s="17" t="n">
        <v>10</v>
      </c>
      <c r="B16" s="18" t="s">
        <v>21</v>
      </c>
      <c r="C16" s="31" t="n">
        <v>40.5</v>
      </c>
      <c r="D16" s="31" t="n">
        <v>47</v>
      </c>
      <c r="E16" s="37" t="n">
        <f aca="false">C16+D16</f>
        <v>87.5</v>
      </c>
      <c r="F16" s="38" t="n">
        <v>45</v>
      </c>
      <c r="G16" s="20" t="s">
        <v>18</v>
      </c>
    </row>
    <row r="17" customFormat="false" ht="16.4" hidden="false" customHeight="false" outlineLevel="0" collapsed="false">
      <c r="A17" s="17" t="n">
        <v>11</v>
      </c>
      <c r="B17" s="18" t="s">
        <v>30</v>
      </c>
      <c r="C17" s="31" t="n">
        <v>25</v>
      </c>
      <c r="D17" s="31" t="n">
        <v>25</v>
      </c>
      <c r="E17" s="37" t="n">
        <f aca="false">C17+D17</f>
        <v>50</v>
      </c>
      <c r="F17" s="38" t="n">
        <v>33</v>
      </c>
      <c r="G17" s="20" t="s">
        <v>24</v>
      </c>
    </row>
    <row r="18" customFormat="false" ht="16.4" hidden="false" customHeight="false" outlineLevel="0" collapsed="false">
      <c r="A18" s="17" t="n">
        <v>12</v>
      </c>
      <c r="B18" s="18" t="s">
        <v>31</v>
      </c>
      <c r="C18" s="31" t="n">
        <v>25</v>
      </c>
      <c r="D18" s="31" t="n">
        <v>25</v>
      </c>
      <c r="E18" s="37" t="n">
        <f aca="false">C18+D18</f>
        <v>50</v>
      </c>
      <c r="F18" s="38" t="n">
        <v>34</v>
      </c>
      <c r="G18" s="20" t="s">
        <v>24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22"/>
    <col collapsed="false" customWidth="true" hidden="false" outlineLevel="0" max="9" min="9" style="0" width="32"/>
  </cols>
  <sheetData>
    <row r="1" customFormat="false" ht="18.65" hidden="false" customHeight="false" outlineLevel="0" collapsed="false">
      <c r="A1" s="24" t="s">
        <v>106</v>
      </c>
      <c r="B1" s="24"/>
      <c r="C1" s="24"/>
      <c r="D1" s="24"/>
      <c r="E1" s="24"/>
      <c r="F1" s="24"/>
      <c r="G1" s="24"/>
      <c r="H1" s="24"/>
      <c r="I1" s="24"/>
    </row>
    <row r="2" customFormat="false" ht="30" hidden="false" customHeight="true" outlineLevel="0" collapsed="false">
      <c r="A2" s="16" t="s">
        <v>11</v>
      </c>
      <c r="B2" s="16" t="s">
        <v>13</v>
      </c>
      <c r="C2" s="16" t="s">
        <v>14</v>
      </c>
      <c r="D2" s="16" t="s">
        <v>12</v>
      </c>
      <c r="E2" s="16" t="s">
        <v>4</v>
      </c>
      <c r="F2" s="16" t="s">
        <v>107</v>
      </c>
      <c r="G2" s="16" t="s">
        <v>108</v>
      </c>
      <c r="H2" s="16" t="s">
        <v>16</v>
      </c>
      <c r="I2" s="16" t="s">
        <v>109</v>
      </c>
    </row>
    <row r="3" customFormat="false" ht="16.4" hidden="false" customHeight="false" outlineLevel="0" collapsed="false">
      <c r="A3" s="18" t="s">
        <v>28</v>
      </c>
      <c r="B3" s="17" t="n">
        <v>27.75</v>
      </c>
      <c r="C3" s="17" t="n">
        <v>39.5</v>
      </c>
      <c r="D3" s="17" t="n">
        <v>67</v>
      </c>
      <c r="E3" s="17" t="n">
        <v>50</v>
      </c>
      <c r="F3" s="17" t="n">
        <v>67.25</v>
      </c>
      <c r="G3" s="19" t="n">
        <v>67</v>
      </c>
      <c r="H3" s="20" t="s">
        <v>24</v>
      </c>
      <c r="I3" s="39" t="s">
        <v>110</v>
      </c>
    </row>
    <row r="4" customFormat="false" ht="16.4" hidden="false" customHeight="false" outlineLevel="0" collapsed="false">
      <c r="A4" s="18" t="s">
        <v>17</v>
      </c>
      <c r="B4" s="17" t="n">
        <v>37</v>
      </c>
      <c r="C4" s="17" t="n">
        <v>47.5</v>
      </c>
      <c r="D4" s="17" t="n">
        <v>73</v>
      </c>
      <c r="E4" s="17" t="n">
        <v>52</v>
      </c>
      <c r="F4" s="17" t="n">
        <v>84.5</v>
      </c>
      <c r="G4" s="19" t="n">
        <v>79</v>
      </c>
      <c r="H4" s="20" t="s">
        <v>18</v>
      </c>
      <c r="I4" s="40" t="s">
        <v>52</v>
      </c>
    </row>
    <row r="5" customFormat="false" ht="16.4" hidden="false" customHeight="false" outlineLevel="0" collapsed="false">
      <c r="A5" s="18" t="s">
        <v>19</v>
      </c>
      <c r="B5" s="17" t="n">
        <v>38</v>
      </c>
      <c r="C5" s="17" t="n">
        <v>45</v>
      </c>
      <c r="D5" s="17" t="n">
        <v>75</v>
      </c>
      <c r="E5" s="17" t="n">
        <v>51</v>
      </c>
      <c r="F5" s="17" t="n">
        <v>83</v>
      </c>
      <c r="G5" s="19" t="n">
        <v>79</v>
      </c>
      <c r="H5" s="20" t="s">
        <v>20</v>
      </c>
      <c r="I5" s="40" t="s">
        <v>52</v>
      </c>
    </row>
    <row r="6" customFormat="false" ht="16.4" hidden="false" customHeight="false" outlineLevel="0" collapsed="false">
      <c r="A6" s="18" t="s">
        <v>22</v>
      </c>
      <c r="B6" s="17" t="n">
        <v>34</v>
      </c>
      <c r="C6" s="17" t="n">
        <v>44</v>
      </c>
      <c r="D6" s="17" t="n">
        <v>77</v>
      </c>
      <c r="E6" s="17" t="n">
        <v>59</v>
      </c>
      <c r="F6" s="17" t="n">
        <v>78</v>
      </c>
      <c r="G6" s="19" t="n">
        <v>77.5</v>
      </c>
      <c r="H6" s="20" t="s">
        <v>18</v>
      </c>
      <c r="I6" s="39" t="s">
        <v>111</v>
      </c>
    </row>
    <row r="7" customFormat="false" ht="16.4" hidden="false" customHeight="false" outlineLevel="0" collapsed="false">
      <c r="A7" s="18" t="s">
        <v>29</v>
      </c>
      <c r="B7" s="17" t="n">
        <v>29.25</v>
      </c>
      <c r="C7" s="17" t="n">
        <v>38</v>
      </c>
      <c r="D7" s="17" t="n">
        <v>60</v>
      </c>
      <c r="E7" s="17" t="n">
        <v>55</v>
      </c>
      <c r="F7" s="17" t="n">
        <v>67.25</v>
      </c>
      <c r="G7" s="19" t="n">
        <v>63.5</v>
      </c>
      <c r="H7" s="20" t="s">
        <v>24</v>
      </c>
      <c r="I7" s="40" t="s">
        <v>52</v>
      </c>
    </row>
    <row r="8" customFormat="false" ht="16.4" hidden="false" customHeight="false" outlineLevel="0" collapsed="false">
      <c r="A8" s="18" t="s">
        <v>26</v>
      </c>
      <c r="B8" s="17" t="n">
        <v>27.75</v>
      </c>
      <c r="C8" s="17" t="n">
        <v>43</v>
      </c>
      <c r="D8" s="17" t="n">
        <v>67</v>
      </c>
      <c r="E8" s="17" t="n">
        <v>43</v>
      </c>
      <c r="F8" s="17" t="n">
        <v>70.75</v>
      </c>
      <c r="G8" s="19" t="n">
        <v>69</v>
      </c>
      <c r="H8" s="20" t="s">
        <v>27</v>
      </c>
      <c r="I8" s="40" t="s">
        <v>52</v>
      </c>
    </row>
    <row r="9" customFormat="false" ht="16.4" hidden="false" customHeight="false" outlineLevel="0" collapsed="false">
      <c r="A9" s="18" t="s">
        <v>8</v>
      </c>
      <c r="B9" s="17" t="n">
        <v>33</v>
      </c>
      <c r="C9" s="17" t="n">
        <v>44</v>
      </c>
      <c r="D9" s="17" t="n">
        <v>78</v>
      </c>
      <c r="E9" s="17" t="n">
        <v>60</v>
      </c>
      <c r="F9" s="17" t="n">
        <v>77</v>
      </c>
      <c r="G9" s="19" t="n">
        <v>77.5</v>
      </c>
      <c r="H9" s="20" t="s">
        <v>18</v>
      </c>
      <c r="I9" s="39" t="s">
        <v>112</v>
      </c>
    </row>
    <row r="10" customFormat="false" ht="16.4" hidden="false" customHeight="false" outlineLevel="0" collapsed="false">
      <c r="A10" s="18" t="s">
        <v>25</v>
      </c>
      <c r="B10" s="17" t="n">
        <v>29</v>
      </c>
      <c r="C10" s="17" t="n">
        <v>50</v>
      </c>
      <c r="D10" s="17" t="n">
        <v>65</v>
      </c>
      <c r="E10" s="17" t="n">
        <v>48</v>
      </c>
      <c r="F10" s="17" t="n">
        <v>79</v>
      </c>
      <c r="G10" s="19" t="n">
        <v>72</v>
      </c>
      <c r="H10" s="20" t="s">
        <v>24</v>
      </c>
      <c r="I10" s="40" t="s">
        <v>52</v>
      </c>
    </row>
    <row r="11" customFormat="false" ht="16.4" hidden="false" customHeight="false" outlineLevel="0" collapsed="false">
      <c r="A11" s="18" t="s">
        <v>23</v>
      </c>
      <c r="B11" s="17" t="n">
        <v>36.25</v>
      </c>
      <c r="C11" s="17" t="n">
        <v>45</v>
      </c>
      <c r="D11" s="17" t="n">
        <v>67</v>
      </c>
      <c r="E11" s="17" t="n">
        <v>46</v>
      </c>
      <c r="F11" s="17" t="n">
        <v>81.25</v>
      </c>
      <c r="G11" s="19" t="n">
        <v>74</v>
      </c>
      <c r="H11" s="20" t="s">
        <v>24</v>
      </c>
      <c r="I11" s="40" t="s">
        <v>52</v>
      </c>
    </row>
    <row r="12" customFormat="false" ht="16.4" hidden="false" customHeight="false" outlineLevel="0" collapsed="false">
      <c r="A12" s="18" t="s">
        <v>21</v>
      </c>
      <c r="B12" s="17" t="n">
        <v>40.5</v>
      </c>
      <c r="C12" s="17" t="n">
        <v>47</v>
      </c>
      <c r="D12" s="17" t="n">
        <v>70</v>
      </c>
      <c r="E12" s="17" t="n">
        <v>45</v>
      </c>
      <c r="F12" s="17" t="n">
        <v>87.5</v>
      </c>
      <c r="G12" s="19" t="n">
        <v>79</v>
      </c>
      <c r="H12" s="20" t="s">
        <v>18</v>
      </c>
      <c r="I12" s="39" t="s">
        <v>113</v>
      </c>
    </row>
    <row r="13" customFormat="false" ht="16.4" hidden="false" customHeight="false" outlineLevel="0" collapsed="false">
      <c r="A13" s="18" t="s">
        <v>30</v>
      </c>
      <c r="B13" s="17" t="n">
        <v>25</v>
      </c>
      <c r="C13" s="17" t="n">
        <v>25</v>
      </c>
      <c r="D13" s="17" t="n">
        <v>28</v>
      </c>
      <c r="E13" s="17" t="n">
        <v>33</v>
      </c>
      <c r="F13" s="17" t="n">
        <v>50</v>
      </c>
      <c r="G13" s="19" t="n">
        <v>53</v>
      </c>
      <c r="H13" s="20" t="s">
        <v>24</v>
      </c>
      <c r="I13" s="40" t="s">
        <v>52</v>
      </c>
    </row>
    <row r="14" customFormat="false" ht="16.4" hidden="false" customHeight="false" outlineLevel="0" collapsed="false">
      <c r="A14" s="18" t="s">
        <v>31</v>
      </c>
      <c r="B14" s="17" t="n">
        <v>25</v>
      </c>
      <c r="C14" s="17" t="n">
        <v>25</v>
      </c>
      <c r="D14" s="17" t="n">
        <v>25</v>
      </c>
      <c r="E14" s="17" t="n">
        <v>34</v>
      </c>
      <c r="F14" s="17" t="n">
        <v>50</v>
      </c>
      <c r="G14" s="19" t="n">
        <v>50</v>
      </c>
      <c r="H14" s="20" t="s">
        <v>24</v>
      </c>
      <c r="I14" s="40" t="s">
        <v>52</v>
      </c>
    </row>
    <row r="15" customFormat="false" ht="15" hidden="false" customHeight="false" outlineLevel="0" collapsed="false">
      <c r="A15" s="41" t="s">
        <v>114</v>
      </c>
      <c r="B15" s="42" t="n">
        <f aca="false">ROUND(AVERAGE(B3:B14),1)</f>
        <v>31.9</v>
      </c>
      <c r="C15" s="42" t="n">
        <f aca="false">ROUND(AVERAGE(C3:C14),1)</f>
        <v>41.1</v>
      </c>
      <c r="D15" s="42" t="n">
        <f aca="false">ROUND(AVERAGE(D3:D14),1)</f>
        <v>62.7</v>
      </c>
      <c r="E15" s="42" t="n">
        <f aca="false">ROUND(AVERAGE(E3:E14),1)</f>
        <v>48</v>
      </c>
      <c r="F15" s="42" t="n">
        <f aca="false">ROUND(AVERAGE(F3:F14),1)</f>
        <v>73</v>
      </c>
      <c r="G15" s="42" t="n">
        <f aca="false">ROUND(AVERAGE(G3:G14),1)</f>
        <v>70</v>
      </c>
    </row>
  </sheetData>
  <mergeCells count="1">
    <mergeCell ref="A1:I1"/>
  </mergeCells>
  <conditionalFormatting sqref="G3:G14">
    <cfRule type="colorScale" priority="2">
      <colorScale>
        <cfvo type="num" val="40"/>
        <cfvo type="num" val="70"/>
        <cfvo type="num" val="90"/>
        <color rgb="FFF1948A"/>
        <color rgb="FFF9E79F"/>
        <color rgb="FF82E0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4" min="3" style="0" width="22"/>
    <col collapsed="false" customWidth="true" hidden="false" outlineLevel="0" max="5" min="5" style="0" width="45"/>
  </cols>
  <sheetData>
    <row r="1" customFormat="false" ht="19.7" hidden="false" customHeight="false" outlineLevel="0" collapsed="false">
      <c r="A1" s="24" t="s">
        <v>115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customFormat="false" ht="15" hidden="false" customHeight="false" outlineLevel="0" collapsed="false">
      <c r="A2" s="25" t="s">
        <v>116</v>
      </c>
    </row>
    <row r="4" customFormat="false" ht="15" hidden="false" customHeight="false" outlineLevel="0" collapsed="false">
      <c r="A4" s="21" t="s">
        <v>117</v>
      </c>
    </row>
    <row r="5" customFormat="false" ht="15" hidden="false" customHeight="false" outlineLevel="0" collapsed="false">
      <c r="A5" s="16" t="s">
        <v>118</v>
      </c>
      <c r="B5" s="16" t="s">
        <v>119</v>
      </c>
      <c r="C5" s="16" t="s">
        <v>120</v>
      </c>
      <c r="D5" s="16" t="s">
        <v>121</v>
      </c>
      <c r="E5" s="16" t="s">
        <v>122</v>
      </c>
    </row>
    <row r="6" customFormat="false" ht="16.4" hidden="false" customHeight="false" outlineLevel="0" collapsed="false">
      <c r="A6" s="40" t="s">
        <v>123</v>
      </c>
      <c r="B6" s="17" t="n">
        <v>68.1</v>
      </c>
      <c r="C6" s="17" t="n">
        <v>40</v>
      </c>
      <c r="D6" s="43" t="s">
        <v>124</v>
      </c>
      <c r="E6" s="26" t="s">
        <v>125</v>
      </c>
    </row>
    <row r="7" customFormat="false" ht="16.4" hidden="false" customHeight="false" outlineLevel="0" collapsed="false">
      <c r="A7" s="40" t="s">
        <v>126</v>
      </c>
      <c r="B7" s="17" t="n">
        <v>67.8</v>
      </c>
      <c r="C7" s="17" t="n">
        <v>40</v>
      </c>
      <c r="D7" s="43" t="s">
        <v>124</v>
      </c>
      <c r="E7" s="26" t="s">
        <v>127</v>
      </c>
    </row>
    <row r="8" customFormat="false" ht="16.4" hidden="false" customHeight="false" outlineLevel="0" collapsed="false">
      <c r="A8" s="40" t="s">
        <v>128</v>
      </c>
      <c r="B8" s="17" t="n">
        <v>55.4</v>
      </c>
      <c r="C8" s="17" t="n">
        <v>10</v>
      </c>
      <c r="D8" s="43" t="s">
        <v>124</v>
      </c>
      <c r="E8" s="26" t="s">
        <v>129</v>
      </c>
    </row>
    <row r="9" customFormat="false" ht="16.4" hidden="false" customHeight="false" outlineLevel="0" collapsed="false">
      <c r="A9" s="40" t="s">
        <v>130</v>
      </c>
      <c r="B9" s="17" t="n">
        <v>55.8</v>
      </c>
      <c r="C9" s="17" t="n">
        <v>5</v>
      </c>
      <c r="D9" s="43" t="s">
        <v>124</v>
      </c>
      <c r="E9" s="26" t="s">
        <v>131</v>
      </c>
    </row>
    <row r="10" customFormat="false" ht="16.4" hidden="false" customHeight="false" outlineLevel="0" collapsed="false">
      <c r="A10" s="40" t="s">
        <v>132</v>
      </c>
      <c r="B10" s="17" t="n">
        <v>40.8</v>
      </c>
      <c r="C10" s="17" t="n">
        <v>10</v>
      </c>
      <c r="D10" s="44" t="s">
        <v>133</v>
      </c>
      <c r="E10" s="26" t="s">
        <v>134</v>
      </c>
    </row>
    <row r="11" customFormat="false" ht="16.4" hidden="false" customHeight="false" outlineLevel="0" collapsed="false">
      <c r="A11" s="40" t="s">
        <v>135</v>
      </c>
      <c r="B11" s="17" t="n">
        <v>58</v>
      </c>
      <c r="C11" s="17" t="n">
        <v>7</v>
      </c>
      <c r="D11" s="43" t="s">
        <v>124</v>
      </c>
      <c r="E11" s="26" t="s">
        <v>136</v>
      </c>
    </row>
    <row r="12" customFormat="false" ht="16.4" hidden="false" customHeight="false" outlineLevel="0" collapsed="false">
      <c r="A12" s="40" t="s">
        <v>137</v>
      </c>
      <c r="B12" s="17" t="n">
        <v>63.5</v>
      </c>
      <c r="C12" s="17" t="n">
        <v>8</v>
      </c>
      <c r="D12" s="43" t="s">
        <v>124</v>
      </c>
      <c r="E12" s="26" t="s">
        <v>138</v>
      </c>
    </row>
    <row r="13" customFormat="false" ht="16.4" hidden="false" customHeight="false" outlineLevel="0" collapsed="false">
      <c r="A13" s="40" t="s">
        <v>139</v>
      </c>
      <c r="B13" s="17" t="n">
        <v>40.8</v>
      </c>
      <c r="C13" s="17" t="n">
        <v>10</v>
      </c>
      <c r="D13" s="44" t="s">
        <v>133</v>
      </c>
      <c r="E13" s="26" t="s">
        <v>140</v>
      </c>
    </row>
    <row r="14" customFormat="false" ht="16.4" hidden="false" customHeight="false" outlineLevel="0" collapsed="false">
      <c r="A14" s="40" t="s">
        <v>141</v>
      </c>
      <c r="B14" s="17" t="n">
        <v>56.6</v>
      </c>
      <c r="C14" s="17" t="n">
        <v>10</v>
      </c>
      <c r="D14" s="43" t="s">
        <v>124</v>
      </c>
      <c r="E14" s="26" t="s">
        <v>142</v>
      </c>
    </row>
    <row r="17" customFormat="false" ht="15" hidden="false" customHeight="false" outlineLevel="0" collapsed="false">
      <c r="A17" s="21" t="s">
        <v>143</v>
      </c>
    </row>
    <row r="18" customFormat="false" ht="15" hidden="false" customHeight="false" outlineLevel="0" collapsed="false">
      <c r="A18" s="16" t="s">
        <v>144</v>
      </c>
      <c r="B18" s="16" t="s">
        <v>145</v>
      </c>
      <c r="C18" s="16" t="s">
        <v>146</v>
      </c>
      <c r="D18" s="16" t="s">
        <v>147</v>
      </c>
      <c r="E18" s="16" t="s">
        <v>148</v>
      </c>
    </row>
    <row r="19" customFormat="false" ht="15" hidden="false" customHeight="false" outlineLevel="0" collapsed="false">
      <c r="A19" s="45" t="s">
        <v>28</v>
      </c>
      <c r="B19" s="46" t="s">
        <v>149</v>
      </c>
      <c r="C19" s="46" t="s">
        <v>150</v>
      </c>
      <c r="D19" s="46" t="s">
        <v>151</v>
      </c>
      <c r="E19" s="46" t="s">
        <v>152</v>
      </c>
    </row>
    <row r="20" customFormat="false" ht="15" hidden="false" customHeight="false" outlineLevel="0" collapsed="false">
      <c r="A20" s="45" t="s">
        <v>17</v>
      </c>
      <c r="B20" s="46" t="s">
        <v>153</v>
      </c>
      <c r="C20" s="46" t="s">
        <v>154</v>
      </c>
      <c r="D20" s="46" t="s">
        <v>155</v>
      </c>
      <c r="E20" s="46" t="s">
        <v>156</v>
      </c>
    </row>
    <row r="21" customFormat="false" ht="15" hidden="false" customHeight="false" outlineLevel="0" collapsed="false">
      <c r="A21" s="45" t="s">
        <v>19</v>
      </c>
      <c r="B21" s="46" t="s">
        <v>157</v>
      </c>
      <c r="C21" s="46" t="s">
        <v>149</v>
      </c>
      <c r="D21" s="46" t="s">
        <v>158</v>
      </c>
      <c r="E21" s="46" t="s">
        <v>159</v>
      </c>
    </row>
    <row r="22" customFormat="false" ht="15" hidden="false" customHeight="false" outlineLevel="0" collapsed="false">
      <c r="A22" s="45" t="s">
        <v>22</v>
      </c>
      <c r="B22" s="46" t="s">
        <v>160</v>
      </c>
      <c r="C22" s="46" t="s">
        <v>161</v>
      </c>
      <c r="D22" s="46" t="s">
        <v>162</v>
      </c>
      <c r="E22" s="46" t="s">
        <v>163</v>
      </c>
    </row>
    <row r="23" customFormat="false" ht="15" hidden="false" customHeight="false" outlineLevel="0" collapsed="false">
      <c r="A23" s="45" t="s">
        <v>29</v>
      </c>
      <c r="B23" s="46" t="s">
        <v>164</v>
      </c>
      <c r="C23" s="46" t="s">
        <v>165</v>
      </c>
      <c r="D23" s="46" t="s">
        <v>150</v>
      </c>
      <c r="E23" s="46" t="s">
        <v>166</v>
      </c>
    </row>
    <row r="24" customFormat="false" ht="15" hidden="false" customHeight="false" outlineLevel="0" collapsed="false">
      <c r="A24" s="45" t="s">
        <v>26</v>
      </c>
      <c r="B24" s="46" t="s">
        <v>167</v>
      </c>
      <c r="C24" s="46" t="s">
        <v>168</v>
      </c>
      <c r="D24" s="46" t="s">
        <v>169</v>
      </c>
      <c r="E24" s="46" t="s">
        <v>170</v>
      </c>
    </row>
    <row r="25" customFormat="false" ht="15" hidden="false" customHeight="false" outlineLevel="0" collapsed="false">
      <c r="A25" s="45" t="s">
        <v>8</v>
      </c>
      <c r="B25" s="46" t="s">
        <v>150</v>
      </c>
      <c r="C25" s="46" t="s">
        <v>153</v>
      </c>
      <c r="D25" s="46" t="s">
        <v>161</v>
      </c>
      <c r="E25" s="46" t="s">
        <v>171</v>
      </c>
    </row>
    <row r="26" customFormat="false" ht="15" hidden="false" customHeight="false" outlineLevel="0" collapsed="false">
      <c r="A26" s="45" t="s">
        <v>25</v>
      </c>
      <c r="B26" s="46" t="s">
        <v>172</v>
      </c>
      <c r="C26" s="46" t="s">
        <v>173</v>
      </c>
      <c r="D26" s="46" t="s">
        <v>174</v>
      </c>
      <c r="E26" s="46" t="s">
        <v>175</v>
      </c>
    </row>
    <row r="27" customFormat="false" ht="15" hidden="false" customHeight="false" outlineLevel="0" collapsed="false">
      <c r="A27" s="45" t="s">
        <v>23</v>
      </c>
      <c r="B27" s="46" t="s">
        <v>176</v>
      </c>
      <c r="C27" s="46" t="s">
        <v>160</v>
      </c>
      <c r="D27" s="46" t="s">
        <v>177</v>
      </c>
      <c r="E27" s="46" t="s">
        <v>178</v>
      </c>
    </row>
    <row r="28" customFormat="false" ht="15" hidden="false" customHeight="false" outlineLevel="0" collapsed="false">
      <c r="A28" s="45" t="s">
        <v>21</v>
      </c>
      <c r="B28" s="46" t="s">
        <v>179</v>
      </c>
      <c r="C28" s="46" t="s">
        <v>180</v>
      </c>
      <c r="D28" s="46" t="s">
        <v>181</v>
      </c>
      <c r="E28" s="46" t="s">
        <v>152</v>
      </c>
    </row>
    <row r="29" customFormat="false" ht="15" hidden="false" customHeight="false" outlineLevel="0" collapsed="false">
      <c r="A29" s="45" t="s">
        <v>30</v>
      </c>
      <c r="B29" s="46" t="s">
        <v>182</v>
      </c>
      <c r="C29" s="46" t="s">
        <v>169</v>
      </c>
      <c r="D29" s="46" t="s">
        <v>183</v>
      </c>
      <c r="E29" s="46" t="s">
        <v>184</v>
      </c>
    </row>
    <row r="30" customFormat="false" ht="15" hidden="false" customHeight="false" outlineLevel="0" collapsed="false">
      <c r="A30" s="45" t="s">
        <v>31</v>
      </c>
      <c r="B30" s="46" t="s">
        <v>185</v>
      </c>
      <c r="C30" s="46" t="s">
        <v>176</v>
      </c>
      <c r="D30" s="46" t="s">
        <v>160</v>
      </c>
      <c r="E30" s="46" t="s">
        <v>162</v>
      </c>
    </row>
    <row r="32" customFormat="false" ht="15" hidden="false" customHeight="false" outlineLevel="0" collapsed="false">
      <c r="A32" s="23" t="s">
        <v>186</v>
      </c>
      <c r="B32" s="23"/>
      <c r="C32" s="23"/>
      <c r="D32" s="23"/>
      <c r="E32" s="23"/>
    </row>
  </sheetData>
  <mergeCells count="2">
    <mergeCell ref="A1:L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4" min="12" style="0" width="10"/>
    <col collapsed="false" customWidth="true" hidden="false" outlineLevel="0" max="15" min="15" style="0" width="11"/>
    <col collapsed="false" customWidth="true" hidden="false" outlineLevel="0" max="16" min="16" style="0" width="18"/>
  </cols>
  <sheetData>
    <row r="1" customFormat="false" ht="18.65" hidden="false" customHeight="false" outlineLevel="0" collapsed="false">
      <c r="A1" s="24" t="s">
        <v>187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15" hidden="false" customHeight="false" outlineLevel="0" collapsed="false">
      <c r="A2" s="25" t="s">
        <v>188</v>
      </c>
    </row>
    <row r="4" customFormat="false" ht="15" hidden="false" customHeight="false" outlineLevel="0" collapsed="false">
      <c r="A4" s="16" t="s">
        <v>189</v>
      </c>
      <c r="B4" s="16" t="s">
        <v>77</v>
      </c>
      <c r="C4" s="16" t="s">
        <v>190</v>
      </c>
      <c r="D4" s="16" t="s">
        <v>191</v>
      </c>
      <c r="E4" s="16" t="s">
        <v>192</v>
      </c>
      <c r="F4" s="16" t="s">
        <v>128</v>
      </c>
      <c r="G4" s="16" t="s">
        <v>130</v>
      </c>
      <c r="H4" s="16" t="s">
        <v>132</v>
      </c>
      <c r="I4" s="16" t="s">
        <v>135</v>
      </c>
      <c r="J4" s="16" t="s">
        <v>137</v>
      </c>
      <c r="K4" s="16" t="s">
        <v>139</v>
      </c>
      <c r="L4" s="16" t="s">
        <v>141</v>
      </c>
      <c r="M4" s="16" t="s">
        <v>193</v>
      </c>
      <c r="N4" s="16" t="s">
        <v>194</v>
      </c>
      <c r="O4" s="16" t="s">
        <v>89</v>
      </c>
      <c r="P4" s="16" t="s">
        <v>195</v>
      </c>
    </row>
    <row r="5" customFormat="false" ht="15" hidden="false" customHeight="false" outlineLevel="0" collapsed="false">
      <c r="A5" s="47" t="n">
        <v>1</v>
      </c>
      <c r="B5" s="48" t="s">
        <v>28</v>
      </c>
      <c r="C5" s="47" t="s">
        <v>75</v>
      </c>
      <c r="D5" s="47" t="n">
        <v>38</v>
      </c>
      <c r="E5" s="47" t="n">
        <v>23</v>
      </c>
      <c r="F5" s="47" t="n">
        <v>5</v>
      </c>
      <c r="G5" s="47" t="n">
        <v>0</v>
      </c>
      <c r="H5" s="47" t="n">
        <v>10</v>
      </c>
      <c r="I5" s="47" t="n">
        <v>7</v>
      </c>
      <c r="J5" s="47" t="n">
        <v>8</v>
      </c>
      <c r="K5" s="47" t="n">
        <v>0</v>
      </c>
      <c r="L5" s="47" t="n">
        <v>10</v>
      </c>
      <c r="M5" s="32" t="n">
        <v>101</v>
      </c>
      <c r="N5" s="47" t="n">
        <v>60</v>
      </c>
      <c r="O5" s="33" t="n">
        <v>80.5</v>
      </c>
      <c r="P5" s="48" t="s">
        <v>196</v>
      </c>
    </row>
    <row r="6" customFormat="false" ht="15" hidden="false" customHeight="false" outlineLevel="0" collapsed="false">
      <c r="A6" s="47" t="n">
        <v>1</v>
      </c>
      <c r="B6" s="48" t="s">
        <v>28</v>
      </c>
      <c r="C6" s="47" t="s">
        <v>197</v>
      </c>
      <c r="D6" s="47" t="n">
        <v>19</v>
      </c>
      <c r="E6" s="47" t="n">
        <v>37</v>
      </c>
      <c r="F6" s="47" t="n">
        <v>5</v>
      </c>
      <c r="G6" s="47" t="n">
        <v>5</v>
      </c>
      <c r="H6" s="47" t="n">
        <v>10</v>
      </c>
      <c r="I6" s="47" t="n">
        <v>2</v>
      </c>
      <c r="J6" s="47" t="n">
        <v>2</v>
      </c>
      <c r="K6" s="47" t="n">
        <v>0</v>
      </c>
      <c r="L6" s="47" t="n">
        <v>0</v>
      </c>
      <c r="M6" s="32" t="n">
        <v>80</v>
      </c>
      <c r="N6" s="47" t="n">
        <v>50</v>
      </c>
      <c r="O6" s="33" t="n">
        <v>65</v>
      </c>
      <c r="P6" s="48" t="s">
        <v>196</v>
      </c>
    </row>
    <row r="7" customFormat="false" ht="15" hidden="false" customHeight="false" outlineLevel="0" collapsed="false">
      <c r="A7" s="47" t="n">
        <v>1</v>
      </c>
      <c r="B7" s="48" t="s">
        <v>28</v>
      </c>
      <c r="C7" s="47" t="s">
        <v>198</v>
      </c>
      <c r="D7" s="47" t="n">
        <v>21</v>
      </c>
      <c r="E7" s="47" t="n">
        <v>21</v>
      </c>
      <c r="F7" s="47" t="n">
        <v>0</v>
      </c>
      <c r="G7" s="47" t="n">
        <v>5</v>
      </c>
      <c r="H7" s="47" t="n">
        <v>5</v>
      </c>
      <c r="I7" s="47" t="n">
        <v>3</v>
      </c>
      <c r="J7" s="47" t="n">
        <v>2</v>
      </c>
      <c r="K7" s="47" t="n">
        <v>5</v>
      </c>
      <c r="L7" s="47" t="n">
        <v>5</v>
      </c>
      <c r="M7" s="32" t="n">
        <v>67</v>
      </c>
      <c r="N7" s="47" t="n">
        <v>60</v>
      </c>
      <c r="O7" s="33" t="n">
        <v>63.5</v>
      </c>
      <c r="P7" s="48" t="s">
        <v>196</v>
      </c>
    </row>
    <row r="8" customFormat="false" ht="15" hidden="false" customHeight="false" outlineLevel="0" collapsed="false">
      <c r="A8" s="47" t="n">
        <v>1</v>
      </c>
      <c r="B8" s="48" t="s">
        <v>28</v>
      </c>
      <c r="C8" s="47" t="s">
        <v>199</v>
      </c>
      <c r="D8" s="47" t="n">
        <v>20</v>
      </c>
      <c r="E8" s="47" t="n">
        <v>40</v>
      </c>
      <c r="F8" s="47" t="n">
        <v>5</v>
      </c>
      <c r="G8" s="47" t="n">
        <v>5</v>
      </c>
      <c r="H8" s="47" t="n">
        <v>5</v>
      </c>
      <c r="I8" s="47" t="n">
        <v>1</v>
      </c>
      <c r="J8" s="47" t="n">
        <v>4</v>
      </c>
      <c r="K8" s="47" t="n">
        <v>0</v>
      </c>
      <c r="L8" s="47" t="n">
        <v>10</v>
      </c>
      <c r="M8" s="32" t="n">
        <v>90</v>
      </c>
      <c r="N8" s="47" t="n">
        <v>40</v>
      </c>
      <c r="O8" s="33" t="n">
        <v>65</v>
      </c>
      <c r="P8" s="48" t="s">
        <v>196</v>
      </c>
    </row>
    <row r="9" customFormat="false" ht="15" hidden="false" customHeight="false" outlineLevel="0" collapsed="false">
      <c r="A9" s="47" t="n">
        <v>1</v>
      </c>
      <c r="B9" s="48" t="s">
        <v>28</v>
      </c>
      <c r="C9" s="47" t="s">
        <v>200</v>
      </c>
      <c r="D9" s="47" t="n">
        <v>39</v>
      </c>
      <c r="E9" s="47" t="n">
        <v>26</v>
      </c>
      <c r="F9" s="47" t="n">
        <v>0</v>
      </c>
      <c r="G9" s="47" t="n">
        <v>5</v>
      </c>
      <c r="H9" s="47" t="n">
        <v>0</v>
      </c>
      <c r="I9" s="47" t="n">
        <v>2</v>
      </c>
      <c r="J9" s="47" t="n">
        <v>2</v>
      </c>
      <c r="K9" s="47" t="n">
        <v>5</v>
      </c>
      <c r="L9" s="47" t="n">
        <v>0</v>
      </c>
      <c r="M9" s="32" t="n">
        <v>79</v>
      </c>
      <c r="N9" s="47" t="n">
        <v>40</v>
      </c>
      <c r="O9" s="33" t="n">
        <v>59.5</v>
      </c>
      <c r="P9" s="48" t="s">
        <v>196</v>
      </c>
    </row>
    <row r="10" customFormat="false" ht="15" hidden="false" customHeight="false" outlineLevel="0" collapsed="false">
      <c r="A10" s="47" t="n">
        <v>2</v>
      </c>
      <c r="B10" s="48" t="s">
        <v>17</v>
      </c>
      <c r="C10" s="47" t="s">
        <v>75</v>
      </c>
      <c r="D10" s="47" t="n">
        <v>38</v>
      </c>
      <c r="E10" s="47" t="n">
        <v>28</v>
      </c>
      <c r="F10" s="47" t="n">
        <v>10</v>
      </c>
      <c r="G10" s="47" t="n">
        <v>0</v>
      </c>
      <c r="H10" s="47" t="n">
        <v>10</v>
      </c>
      <c r="I10" s="47" t="n">
        <v>6</v>
      </c>
      <c r="J10" s="47" t="n">
        <v>6</v>
      </c>
      <c r="K10" s="47" t="n">
        <v>0</v>
      </c>
      <c r="L10" s="47" t="n">
        <v>0</v>
      </c>
      <c r="M10" s="32" t="n">
        <v>98</v>
      </c>
      <c r="N10" s="47" t="n">
        <v>60</v>
      </c>
      <c r="O10" s="33" t="n">
        <v>79</v>
      </c>
      <c r="P10" s="48" t="s">
        <v>196</v>
      </c>
    </row>
    <row r="11" customFormat="false" ht="15" hidden="false" customHeight="false" outlineLevel="0" collapsed="false">
      <c r="A11" s="47" t="n">
        <v>2</v>
      </c>
      <c r="B11" s="48" t="s">
        <v>17</v>
      </c>
      <c r="C11" s="47" t="s">
        <v>197</v>
      </c>
      <c r="D11" s="47" t="n">
        <v>30</v>
      </c>
      <c r="E11" s="47" t="n">
        <v>28</v>
      </c>
      <c r="F11" s="47" t="n">
        <v>5</v>
      </c>
      <c r="G11" s="47" t="n">
        <v>0</v>
      </c>
      <c r="H11" s="47" t="n">
        <v>0</v>
      </c>
      <c r="I11" s="47" t="n">
        <v>7</v>
      </c>
      <c r="J11" s="47" t="n">
        <v>4</v>
      </c>
      <c r="K11" s="47" t="n">
        <v>10</v>
      </c>
      <c r="L11" s="47" t="n">
        <v>0</v>
      </c>
      <c r="M11" s="32" t="n">
        <v>84</v>
      </c>
      <c r="N11" s="47" t="n">
        <v>45</v>
      </c>
      <c r="O11" s="33" t="n">
        <v>64.5</v>
      </c>
      <c r="P11" s="48" t="s">
        <v>196</v>
      </c>
    </row>
    <row r="12" customFormat="false" ht="15" hidden="false" customHeight="false" outlineLevel="0" collapsed="false">
      <c r="A12" s="47" t="n">
        <v>2</v>
      </c>
      <c r="B12" s="48" t="s">
        <v>17</v>
      </c>
      <c r="C12" s="47" t="s">
        <v>198</v>
      </c>
      <c r="D12" s="47" t="n">
        <v>30</v>
      </c>
      <c r="E12" s="47" t="n">
        <v>39</v>
      </c>
      <c r="F12" s="47" t="n">
        <v>10</v>
      </c>
      <c r="G12" s="47" t="n">
        <v>5</v>
      </c>
      <c r="H12" s="47" t="n">
        <v>5</v>
      </c>
      <c r="I12" s="47" t="n">
        <v>7</v>
      </c>
      <c r="J12" s="47" t="n">
        <v>8</v>
      </c>
      <c r="K12" s="47" t="n">
        <v>0</v>
      </c>
      <c r="L12" s="47" t="n">
        <v>10</v>
      </c>
      <c r="M12" s="32" t="n">
        <v>114</v>
      </c>
      <c r="N12" s="47" t="n">
        <v>60</v>
      </c>
      <c r="O12" s="33" t="n">
        <v>87</v>
      </c>
      <c r="P12" s="48" t="s">
        <v>196</v>
      </c>
    </row>
    <row r="13" customFormat="false" ht="15" hidden="false" customHeight="false" outlineLevel="0" collapsed="false">
      <c r="A13" s="47" t="n">
        <v>2</v>
      </c>
      <c r="B13" s="48" t="s">
        <v>17</v>
      </c>
      <c r="C13" s="47" t="s">
        <v>199</v>
      </c>
      <c r="D13" s="47" t="n">
        <v>28</v>
      </c>
      <c r="E13" s="47" t="n">
        <v>30</v>
      </c>
      <c r="F13" s="47" t="n">
        <v>10</v>
      </c>
      <c r="G13" s="47" t="n">
        <v>5</v>
      </c>
      <c r="H13" s="47" t="n">
        <v>0</v>
      </c>
      <c r="I13" s="47" t="n">
        <v>7</v>
      </c>
      <c r="J13" s="47" t="n">
        <v>4</v>
      </c>
      <c r="K13" s="47" t="n">
        <v>7</v>
      </c>
      <c r="L13" s="47" t="n">
        <v>5</v>
      </c>
      <c r="M13" s="32" t="n">
        <v>96</v>
      </c>
      <c r="N13" s="47" t="n">
        <v>55</v>
      </c>
      <c r="O13" s="33" t="n">
        <v>75.5</v>
      </c>
      <c r="P13" s="48" t="s">
        <v>196</v>
      </c>
    </row>
    <row r="14" customFormat="false" ht="15" hidden="false" customHeight="false" outlineLevel="0" collapsed="false">
      <c r="A14" s="47" t="n">
        <v>2</v>
      </c>
      <c r="B14" s="48" t="s">
        <v>17</v>
      </c>
      <c r="C14" s="47" t="s">
        <v>200</v>
      </c>
      <c r="D14" s="47" t="n">
        <v>39</v>
      </c>
      <c r="E14" s="47" t="n">
        <v>26</v>
      </c>
      <c r="F14" s="47" t="n">
        <v>0</v>
      </c>
      <c r="G14" s="47" t="n">
        <v>5</v>
      </c>
      <c r="H14" s="47" t="n">
        <v>0</v>
      </c>
      <c r="I14" s="47" t="n">
        <v>2</v>
      </c>
      <c r="J14" s="47" t="n">
        <v>2</v>
      </c>
      <c r="K14" s="47" t="n">
        <v>5</v>
      </c>
      <c r="L14" s="47" t="n">
        <v>0</v>
      </c>
      <c r="M14" s="32" t="n">
        <v>79</v>
      </c>
      <c r="N14" s="47" t="n">
        <v>40</v>
      </c>
      <c r="O14" s="33" t="n">
        <v>59.5</v>
      </c>
      <c r="P14" s="48" t="s">
        <v>196</v>
      </c>
    </row>
    <row r="15" customFormat="false" ht="15" hidden="false" customHeight="false" outlineLevel="0" collapsed="false">
      <c r="A15" s="47" t="n">
        <v>3</v>
      </c>
      <c r="B15" s="48" t="s">
        <v>19</v>
      </c>
      <c r="C15" s="47" t="s">
        <v>75</v>
      </c>
      <c r="D15" s="47" t="n">
        <v>35</v>
      </c>
      <c r="E15" s="47" t="n">
        <v>33</v>
      </c>
      <c r="F15" s="47" t="n">
        <v>10</v>
      </c>
      <c r="G15" s="47" t="n">
        <v>5</v>
      </c>
      <c r="H15" s="47" t="n">
        <v>0</v>
      </c>
      <c r="I15" s="47" t="n">
        <v>7</v>
      </c>
      <c r="J15" s="47" t="n">
        <v>8</v>
      </c>
      <c r="K15" s="47" t="n">
        <v>5</v>
      </c>
      <c r="L15" s="47" t="n">
        <v>10</v>
      </c>
      <c r="M15" s="32" t="n">
        <v>113</v>
      </c>
      <c r="N15" s="47" t="n">
        <v>60</v>
      </c>
      <c r="O15" s="33" t="n">
        <v>86.5</v>
      </c>
      <c r="P15" s="48" t="s">
        <v>196</v>
      </c>
    </row>
    <row r="16" customFormat="false" ht="15" hidden="false" customHeight="false" outlineLevel="0" collapsed="false">
      <c r="A16" s="47" t="n">
        <v>3</v>
      </c>
      <c r="B16" s="48" t="s">
        <v>19</v>
      </c>
      <c r="C16" s="47" t="s">
        <v>197</v>
      </c>
      <c r="D16" s="47" t="n">
        <v>40</v>
      </c>
      <c r="E16" s="47" t="n">
        <v>34</v>
      </c>
      <c r="F16" s="47" t="n">
        <v>5</v>
      </c>
      <c r="G16" s="47" t="n">
        <v>5</v>
      </c>
      <c r="H16" s="47" t="n">
        <v>5</v>
      </c>
      <c r="I16" s="47" t="n">
        <v>5</v>
      </c>
      <c r="J16" s="47" t="n">
        <v>6</v>
      </c>
      <c r="K16" s="47" t="n">
        <v>0</v>
      </c>
      <c r="L16" s="47" t="n">
        <v>5</v>
      </c>
      <c r="M16" s="32" t="n">
        <v>105</v>
      </c>
      <c r="N16" s="47" t="n">
        <v>50</v>
      </c>
      <c r="O16" s="33" t="n">
        <v>77.5</v>
      </c>
      <c r="P16" s="48" t="s">
        <v>196</v>
      </c>
    </row>
    <row r="17" customFormat="false" ht="15" hidden="false" customHeight="false" outlineLevel="0" collapsed="false">
      <c r="A17" s="47" t="n">
        <v>3</v>
      </c>
      <c r="B17" s="48" t="s">
        <v>19</v>
      </c>
      <c r="C17" s="47" t="s">
        <v>198</v>
      </c>
      <c r="D17" s="47" t="n">
        <v>31</v>
      </c>
      <c r="E17" s="47" t="n">
        <v>26</v>
      </c>
      <c r="F17" s="47" t="n">
        <v>5</v>
      </c>
      <c r="G17" s="47" t="n">
        <v>2.5</v>
      </c>
      <c r="H17" s="47" t="n">
        <v>5</v>
      </c>
      <c r="I17" s="47" t="n">
        <v>7</v>
      </c>
      <c r="J17" s="47" t="n">
        <v>4</v>
      </c>
      <c r="K17" s="47" t="n">
        <v>5</v>
      </c>
      <c r="L17" s="47" t="n">
        <v>7</v>
      </c>
      <c r="M17" s="32" t="n">
        <v>92.5</v>
      </c>
      <c r="N17" s="47" t="n">
        <v>60</v>
      </c>
      <c r="O17" s="33" t="n">
        <v>76.2</v>
      </c>
      <c r="P17" s="48" t="s">
        <v>196</v>
      </c>
    </row>
    <row r="18" customFormat="false" ht="15" hidden="false" customHeight="false" outlineLevel="0" collapsed="false">
      <c r="A18" s="47" t="n">
        <v>3</v>
      </c>
      <c r="B18" s="48" t="s">
        <v>19</v>
      </c>
      <c r="C18" s="47" t="s">
        <v>199</v>
      </c>
      <c r="D18" s="47" t="n">
        <v>40</v>
      </c>
      <c r="E18" s="47" t="n">
        <v>31</v>
      </c>
      <c r="F18" s="47" t="n">
        <v>5</v>
      </c>
      <c r="G18" s="47" t="n">
        <v>5</v>
      </c>
      <c r="H18" s="47" t="n">
        <v>0</v>
      </c>
      <c r="I18" s="47" t="n">
        <v>4</v>
      </c>
      <c r="J18" s="47" t="n">
        <v>4</v>
      </c>
      <c r="K18" s="47" t="n">
        <v>0</v>
      </c>
      <c r="L18" s="47" t="n">
        <v>5</v>
      </c>
      <c r="M18" s="32" t="n">
        <v>94</v>
      </c>
      <c r="N18" s="47" t="n">
        <v>35</v>
      </c>
      <c r="O18" s="33" t="n">
        <v>64.5</v>
      </c>
      <c r="P18" s="48" t="s">
        <v>196</v>
      </c>
    </row>
    <row r="19" customFormat="false" ht="15" hidden="false" customHeight="false" outlineLevel="0" collapsed="false">
      <c r="A19" s="47" t="n">
        <v>3</v>
      </c>
      <c r="B19" s="48" t="s">
        <v>19</v>
      </c>
      <c r="C19" s="47" t="s">
        <v>200</v>
      </c>
      <c r="D19" s="47" t="n">
        <v>40</v>
      </c>
      <c r="E19" s="47" t="n">
        <v>26</v>
      </c>
      <c r="F19" s="47" t="n">
        <v>10</v>
      </c>
      <c r="G19" s="47" t="n">
        <v>5</v>
      </c>
      <c r="H19" s="47" t="n">
        <v>0</v>
      </c>
      <c r="I19" s="47" t="n">
        <v>7</v>
      </c>
      <c r="J19" s="47" t="n">
        <v>2</v>
      </c>
      <c r="K19" s="47" t="n">
        <v>0</v>
      </c>
      <c r="L19" s="47" t="n">
        <v>0</v>
      </c>
      <c r="M19" s="32" t="n">
        <v>90</v>
      </c>
      <c r="N19" s="47" t="n">
        <v>50</v>
      </c>
      <c r="O19" s="33" t="n">
        <v>70</v>
      </c>
      <c r="P19" s="48" t="s">
        <v>196</v>
      </c>
    </row>
    <row r="20" customFormat="false" ht="15" hidden="false" customHeight="false" outlineLevel="0" collapsed="false">
      <c r="A20" s="47" t="n">
        <v>4</v>
      </c>
      <c r="B20" s="48" t="s">
        <v>22</v>
      </c>
      <c r="C20" s="47" t="s">
        <v>75</v>
      </c>
      <c r="D20" s="47" t="n">
        <v>22</v>
      </c>
      <c r="E20" s="47" t="n">
        <v>35</v>
      </c>
      <c r="F20" s="47" t="n">
        <v>5</v>
      </c>
      <c r="G20" s="47" t="n">
        <v>0</v>
      </c>
      <c r="H20" s="47" t="n">
        <v>10</v>
      </c>
      <c r="I20" s="47" t="n">
        <v>5</v>
      </c>
      <c r="J20" s="47" t="n">
        <v>8</v>
      </c>
      <c r="K20" s="47" t="n">
        <v>0</v>
      </c>
      <c r="L20" s="47" t="n">
        <v>10</v>
      </c>
      <c r="M20" s="32" t="n">
        <v>95</v>
      </c>
      <c r="N20" s="47" t="n">
        <v>60</v>
      </c>
      <c r="O20" s="33" t="n">
        <v>77.5</v>
      </c>
      <c r="P20" s="48" t="s">
        <v>196</v>
      </c>
    </row>
    <row r="21" customFormat="false" ht="15" hidden="false" customHeight="false" outlineLevel="0" collapsed="false">
      <c r="A21" s="47" t="n">
        <v>4</v>
      </c>
      <c r="B21" s="48" t="s">
        <v>22</v>
      </c>
      <c r="C21" s="47" t="s">
        <v>197</v>
      </c>
      <c r="D21" s="47" t="n">
        <v>37</v>
      </c>
      <c r="E21" s="47" t="n">
        <v>33</v>
      </c>
      <c r="F21" s="47" t="n">
        <v>10</v>
      </c>
      <c r="G21" s="47" t="n">
        <v>0</v>
      </c>
      <c r="H21" s="47" t="n">
        <v>5</v>
      </c>
      <c r="I21" s="47" t="n">
        <v>6</v>
      </c>
      <c r="J21" s="47" t="n">
        <v>8</v>
      </c>
      <c r="K21" s="47" t="n">
        <v>10</v>
      </c>
      <c r="L21" s="47" t="n">
        <v>10</v>
      </c>
      <c r="M21" s="32" t="n">
        <v>119</v>
      </c>
      <c r="N21" s="47" t="n">
        <v>55</v>
      </c>
      <c r="O21" s="33" t="n">
        <v>87</v>
      </c>
      <c r="P21" s="48" t="s">
        <v>196</v>
      </c>
    </row>
    <row r="22" customFormat="false" ht="15" hidden="false" customHeight="false" outlineLevel="0" collapsed="false">
      <c r="A22" s="47" t="n">
        <v>4</v>
      </c>
      <c r="B22" s="48" t="s">
        <v>22</v>
      </c>
      <c r="C22" s="47" t="s">
        <v>198</v>
      </c>
      <c r="D22" s="47" t="n">
        <v>40</v>
      </c>
      <c r="E22" s="47" t="n">
        <v>20</v>
      </c>
      <c r="F22" s="47" t="n">
        <v>10</v>
      </c>
      <c r="G22" s="47" t="n">
        <v>5</v>
      </c>
      <c r="H22" s="47" t="n">
        <v>5</v>
      </c>
      <c r="I22" s="47" t="n">
        <v>4</v>
      </c>
      <c r="J22" s="47" t="n">
        <v>8</v>
      </c>
      <c r="K22" s="47" t="n">
        <v>5</v>
      </c>
      <c r="L22" s="47" t="n">
        <v>5</v>
      </c>
      <c r="M22" s="32" t="n">
        <v>102</v>
      </c>
      <c r="N22" s="47" t="n">
        <v>60</v>
      </c>
      <c r="O22" s="33" t="n">
        <v>81</v>
      </c>
      <c r="P22" s="48" t="s">
        <v>196</v>
      </c>
    </row>
    <row r="23" customFormat="false" ht="15" hidden="false" customHeight="false" outlineLevel="0" collapsed="false">
      <c r="A23" s="47" t="n">
        <v>4</v>
      </c>
      <c r="B23" s="48" t="s">
        <v>22</v>
      </c>
      <c r="C23" s="47" t="s">
        <v>199</v>
      </c>
      <c r="D23" s="47" t="n">
        <v>28</v>
      </c>
      <c r="E23" s="47" t="n">
        <v>16</v>
      </c>
      <c r="F23" s="47" t="n">
        <v>0</v>
      </c>
      <c r="G23" s="47" t="n">
        <v>5</v>
      </c>
      <c r="H23" s="47" t="n">
        <v>0</v>
      </c>
      <c r="I23" s="47" t="n">
        <v>5</v>
      </c>
      <c r="J23" s="47" t="n">
        <v>6</v>
      </c>
      <c r="K23" s="47" t="n">
        <v>5</v>
      </c>
      <c r="L23" s="47" t="n">
        <v>10</v>
      </c>
      <c r="M23" s="32" t="n">
        <v>75</v>
      </c>
      <c r="N23" s="47" t="n">
        <v>60</v>
      </c>
      <c r="O23" s="33" t="n">
        <v>67.5</v>
      </c>
      <c r="P23" s="48" t="s">
        <v>196</v>
      </c>
    </row>
    <row r="24" customFormat="false" ht="15" hidden="false" customHeight="false" outlineLevel="0" collapsed="false">
      <c r="A24" s="47" t="n">
        <v>4</v>
      </c>
      <c r="B24" s="48" t="s">
        <v>22</v>
      </c>
      <c r="C24" s="47" t="s">
        <v>200</v>
      </c>
      <c r="D24" s="47" t="n">
        <v>38</v>
      </c>
      <c r="E24" s="47" t="n">
        <v>21</v>
      </c>
      <c r="F24" s="47" t="n">
        <v>5</v>
      </c>
      <c r="G24" s="47" t="n">
        <v>5</v>
      </c>
      <c r="H24" s="47" t="n">
        <v>0</v>
      </c>
      <c r="I24" s="47" t="n">
        <v>2</v>
      </c>
      <c r="J24" s="47" t="n">
        <v>6</v>
      </c>
      <c r="K24" s="47" t="n">
        <v>0</v>
      </c>
      <c r="L24" s="47" t="n">
        <v>5</v>
      </c>
      <c r="M24" s="32" t="n">
        <v>82</v>
      </c>
      <c r="N24" s="47" t="n">
        <v>60</v>
      </c>
      <c r="O24" s="33" t="n">
        <v>71</v>
      </c>
      <c r="P24" s="48" t="s">
        <v>196</v>
      </c>
    </row>
    <row r="25" customFormat="false" ht="15" hidden="false" customHeight="false" outlineLevel="0" collapsed="false">
      <c r="A25" s="47" t="n">
        <v>5</v>
      </c>
      <c r="B25" s="48" t="s">
        <v>29</v>
      </c>
      <c r="C25" s="47" t="s">
        <v>75</v>
      </c>
      <c r="D25" s="47" t="n">
        <v>23</v>
      </c>
      <c r="E25" s="47" t="n">
        <v>29</v>
      </c>
      <c r="F25" s="47" t="n">
        <v>5</v>
      </c>
      <c r="G25" s="47" t="n">
        <v>0</v>
      </c>
      <c r="H25" s="47" t="n">
        <v>0</v>
      </c>
      <c r="I25" s="47" t="n">
        <v>0</v>
      </c>
      <c r="J25" s="47" t="n">
        <v>8</v>
      </c>
      <c r="K25" s="47" t="n">
        <v>5</v>
      </c>
      <c r="L25" s="47" t="n">
        <v>10</v>
      </c>
      <c r="M25" s="32" t="n">
        <v>80</v>
      </c>
      <c r="N25" s="47" t="n">
        <v>45</v>
      </c>
      <c r="O25" s="33" t="n">
        <v>62.5</v>
      </c>
      <c r="P25" s="48" t="s">
        <v>196</v>
      </c>
    </row>
    <row r="26" customFormat="false" ht="15" hidden="false" customHeight="false" outlineLevel="0" collapsed="false">
      <c r="A26" s="47" t="n">
        <v>5</v>
      </c>
      <c r="B26" s="48" t="s">
        <v>29</v>
      </c>
      <c r="C26" s="47" t="s">
        <v>197</v>
      </c>
      <c r="D26" s="47" t="n">
        <v>10</v>
      </c>
      <c r="E26" s="47" t="n">
        <v>33</v>
      </c>
      <c r="F26" s="47" t="n">
        <v>0</v>
      </c>
      <c r="G26" s="47" t="n">
        <v>0</v>
      </c>
      <c r="H26" s="47" t="n">
        <v>5</v>
      </c>
      <c r="I26" s="47" t="n">
        <v>0</v>
      </c>
      <c r="J26" s="47" t="n">
        <v>6</v>
      </c>
      <c r="K26" s="47" t="n">
        <v>0</v>
      </c>
      <c r="L26" s="47" t="n">
        <v>5</v>
      </c>
      <c r="M26" s="32" t="n">
        <v>59</v>
      </c>
      <c r="N26" s="47" t="n">
        <v>50</v>
      </c>
      <c r="O26" s="33" t="n">
        <v>54.5</v>
      </c>
      <c r="P26" s="48" t="s">
        <v>196</v>
      </c>
    </row>
    <row r="27" customFormat="false" ht="15" hidden="false" customHeight="false" outlineLevel="0" collapsed="false">
      <c r="A27" s="47" t="n">
        <v>5</v>
      </c>
      <c r="B27" s="48" t="s">
        <v>29</v>
      </c>
      <c r="C27" s="47" t="s">
        <v>198</v>
      </c>
      <c r="D27" s="47" t="n">
        <v>0</v>
      </c>
      <c r="E27" s="47" t="n">
        <v>0</v>
      </c>
      <c r="F27" s="47" t="n">
        <v>0</v>
      </c>
      <c r="G27" s="47" t="n">
        <v>5</v>
      </c>
      <c r="H27" s="47" t="n">
        <v>5</v>
      </c>
      <c r="I27" s="47" t="n">
        <v>2</v>
      </c>
      <c r="J27" s="47" t="n">
        <v>6</v>
      </c>
      <c r="K27" s="47" t="n">
        <v>0</v>
      </c>
      <c r="L27" s="47" t="n">
        <v>5</v>
      </c>
      <c r="M27" s="32" t="n">
        <v>23</v>
      </c>
      <c r="N27" s="47" t="n">
        <v>60</v>
      </c>
      <c r="O27" s="33" t="n">
        <v>41.5</v>
      </c>
      <c r="P27" s="48" t="s">
        <v>196</v>
      </c>
    </row>
    <row r="28" customFormat="false" ht="15" hidden="false" customHeight="false" outlineLevel="0" collapsed="false">
      <c r="A28" s="47" t="n">
        <v>5</v>
      </c>
      <c r="B28" s="48" t="s">
        <v>29</v>
      </c>
      <c r="C28" s="47" t="s">
        <v>199</v>
      </c>
      <c r="D28" s="47" t="n">
        <v>22</v>
      </c>
      <c r="E28" s="47" t="n">
        <v>29</v>
      </c>
      <c r="F28" s="47" t="n">
        <v>5</v>
      </c>
      <c r="G28" s="47" t="n">
        <v>0</v>
      </c>
      <c r="H28" s="47" t="n">
        <v>5</v>
      </c>
      <c r="I28" s="47" t="n">
        <v>3</v>
      </c>
      <c r="J28" s="47" t="n">
        <v>6</v>
      </c>
      <c r="K28" s="47" t="n">
        <v>10</v>
      </c>
      <c r="L28" s="47" t="n">
        <v>5</v>
      </c>
      <c r="M28" s="32" t="n">
        <v>85</v>
      </c>
      <c r="N28" s="47" t="n">
        <v>60</v>
      </c>
      <c r="O28" s="33" t="n">
        <v>72.5</v>
      </c>
      <c r="P28" s="48" t="s">
        <v>196</v>
      </c>
    </row>
    <row r="29" customFormat="false" ht="15" hidden="false" customHeight="false" outlineLevel="0" collapsed="false">
      <c r="A29" s="47" t="n">
        <v>5</v>
      </c>
      <c r="B29" s="48" t="s">
        <v>29</v>
      </c>
      <c r="C29" s="47" t="s">
        <v>200</v>
      </c>
      <c r="D29" s="47" t="n">
        <v>25</v>
      </c>
      <c r="E29" s="47" t="n">
        <v>26</v>
      </c>
      <c r="F29" s="47" t="n">
        <v>5</v>
      </c>
      <c r="G29" s="47" t="n">
        <v>0</v>
      </c>
      <c r="H29" s="47" t="n">
        <v>0</v>
      </c>
      <c r="I29" s="47" t="n">
        <v>5</v>
      </c>
      <c r="J29" s="47" t="n">
        <v>2</v>
      </c>
      <c r="K29" s="47" t="n">
        <v>0</v>
      </c>
      <c r="L29" s="47" t="n">
        <v>10</v>
      </c>
      <c r="M29" s="32" t="n">
        <v>73</v>
      </c>
      <c r="N29" s="47" t="n">
        <v>60</v>
      </c>
      <c r="O29" s="33" t="n">
        <v>66.5</v>
      </c>
      <c r="P29" s="48" t="s">
        <v>196</v>
      </c>
    </row>
    <row r="30" customFormat="false" ht="15" hidden="false" customHeight="false" outlineLevel="0" collapsed="false">
      <c r="A30" s="47" t="n">
        <v>6</v>
      </c>
      <c r="B30" s="48" t="s">
        <v>26</v>
      </c>
      <c r="C30" s="47" t="s">
        <v>75</v>
      </c>
      <c r="D30" s="47" t="n">
        <v>20</v>
      </c>
      <c r="E30" s="47" t="n">
        <v>20</v>
      </c>
      <c r="F30" s="47" t="n">
        <v>2.5</v>
      </c>
      <c r="G30" s="47" t="n">
        <v>5</v>
      </c>
      <c r="H30" s="47" t="n">
        <v>5</v>
      </c>
      <c r="I30" s="47" t="n">
        <v>3.5</v>
      </c>
      <c r="J30" s="47" t="n">
        <v>4</v>
      </c>
      <c r="K30" s="47" t="n">
        <v>5</v>
      </c>
      <c r="L30" s="47" t="n">
        <v>5</v>
      </c>
      <c r="M30" s="32" t="n">
        <v>70</v>
      </c>
      <c r="N30" s="47" t="n">
        <v>30</v>
      </c>
      <c r="O30" s="33" t="n">
        <v>50</v>
      </c>
      <c r="P30" s="48" t="s">
        <v>196</v>
      </c>
    </row>
    <row r="31" customFormat="false" ht="15" hidden="false" customHeight="false" outlineLevel="0" collapsed="false">
      <c r="A31" s="47" t="n">
        <v>6</v>
      </c>
      <c r="B31" s="48" t="s">
        <v>26</v>
      </c>
      <c r="C31" s="47" t="s">
        <v>197</v>
      </c>
      <c r="D31" s="47" t="n">
        <v>28</v>
      </c>
      <c r="E31" s="47" t="n">
        <v>34</v>
      </c>
      <c r="F31" s="47" t="n">
        <v>10</v>
      </c>
      <c r="G31" s="47" t="n">
        <v>5</v>
      </c>
      <c r="H31" s="47" t="n">
        <v>10</v>
      </c>
      <c r="I31" s="47" t="n">
        <v>4</v>
      </c>
      <c r="J31" s="47" t="n">
        <v>8</v>
      </c>
      <c r="K31" s="47" t="n">
        <v>5</v>
      </c>
      <c r="L31" s="47" t="n">
        <v>5</v>
      </c>
      <c r="M31" s="32" t="n">
        <v>109</v>
      </c>
      <c r="N31" s="47" t="n">
        <v>50</v>
      </c>
      <c r="O31" s="33" t="n">
        <v>79.5</v>
      </c>
      <c r="P31" s="48" t="s">
        <v>196</v>
      </c>
    </row>
    <row r="32" customFormat="false" ht="15" hidden="false" customHeight="false" outlineLevel="0" collapsed="false">
      <c r="A32" s="47" t="n">
        <v>6</v>
      </c>
      <c r="B32" s="48" t="s">
        <v>26</v>
      </c>
      <c r="C32" s="47" t="s">
        <v>198</v>
      </c>
      <c r="D32" s="47" t="n">
        <v>20</v>
      </c>
      <c r="E32" s="47" t="n">
        <v>20</v>
      </c>
      <c r="F32" s="47" t="n">
        <v>5</v>
      </c>
      <c r="G32" s="47" t="n">
        <v>2.5</v>
      </c>
      <c r="H32" s="47" t="n">
        <v>5</v>
      </c>
      <c r="I32" s="47" t="n">
        <v>3.5</v>
      </c>
      <c r="J32" s="47" t="n">
        <v>4</v>
      </c>
      <c r="K32" s="47" t="n">
        <v>5</v>
      </c>
      <c r="L32" s="47" t="n">
        <v>5</v>
      </c>
      <c r="M32" s="32" t="n">
        <v>70</v>
      </c>
      <c r="N32" s="47" t="n">
        <v>30</v>
      </c>
      <c r="O32" s="33" t="n">
        <v>50</v>
      </c>
      <c r="P32" s="48" t="s">
        <v>196</v>
      </c>
    </row>
    <row r="33" customFormat="false" ht="15" hidden="false" customHeight="false" outlineLevel="0" collapsed="false">
      <c r="A33" s="47" t="n">
        <v>6</v>
      </c>
      <c r="B33" s="48" t="s">
        <v>26</v>
      </c>
      <c r="C33" s="47" t="s">
        <v>199</v>
      </c>
      <c r="D33" s="47" t="n">
        <v>35</v>
      </c>
      <c r="E33" s="47" t="n">
        <v>39</v>
      </c>
      <c r="F33" s="47" t="n">
        <v>10</v>
      </c>
      <c r="G33" s="47" t="n">
        <v>0</v>
      </c>
      <c r="H33" s="47" t="n">
        <v>5</v>
      </c>
      <c r="I33" s="47" t="n">
        <v>5</v>
      </c>
      <c r="J33" s="47" t="n">
        <v>8</v>
      </c>
      <c r="K33" s="47" t="n">
        <v>0</v>
      </c>
      <c r="L33" s="47" t="n">
        <v>0</v>
      </c>
      <c r="M33" s="32" t="n">
        <v>102</v>
      </c>
      <c r="N33" s="47" t="n">
        <v>50</v>
      </c>
      <c r="O33" s="33" t="n">
        <v>76</v>
      </c>
      <c r="P33" s="48" t="s">
        <v>196</v>
      </c>
    </row>
    <row r="34" customFormat="false" ht="15" hidden="false" customHeight="false" outlineLevel="0" collapsed="false">
      <c r="A34" s="47" t="n">
        <v>6</v>
      </c>
      <c r="B34" s="48" t="s">
        <v>26</v>
      </c>
      <c r="C34" s="47" t="s">
        <v>200</v>
      </c>
      <c r="D34" s="47" t="n">
        <v>37</v>
      </c>
      <c r="E34" s="47" t="n">
        <v>26</v>
      </c>
      <c r="F34" s="47" t="n">
        <v>10</v>
      </c>
      <c r="G34" s="47" t="n">
        <v>0</v>
      </c>
      <c r="H34" s="47" t="n">
        <v>5</v>
      </c>
      <c r="I34" s="47" t="n">
        <v>7</v>
      </c>
      <c r="J34" s="47" t="n">
        <v>4</v>
      </c>
      <c r="K34" s="47" t="n">
        <v>10</v>
      </c>
      <c r="L34" s="47" t="n">
        <v>5</v>
      </c>
      <c r="M34" s="32" t="n">
        <v>104</v>
      </c>
      <c r="N34" s="47" t="n">
        <v>55</v>
      </c>
      <c r="O34" s="33" t="n">
        <v>79.5</v>
      </c>
      <c r="P34" s="48" t="s">
        <v>196</v>
      </c>
    </row>
    <row r="35" customFormat="false" ht="15" hidden="false" customHeight="false" outlineLevel="0" collapsed="false">
      <c r="A35" s="47" t="n">
        <v>7</v>
      </c>
      <c r="B35" s="48" t="s">
        <v>8</v>
      </c>
      <c r="C35" s="47" t="s">
        <v>75</v>
      </c>
      <c r="D35" s="47" t="n">
        <v>20</v>
      </c>
      <c r="E35" s="47" t="n">
        <v>38</v>
      </c>
      <c r="F35" s="47" t="n">
        <v>5</v>
      </c>
      <c r="G35" s="47" t="n">
        <v>5</v>
      </c>
      <c r="H35" s="47" t="n">
        <v>0</v>
      </c>
      <c r="I35" s="47" t="n">
        <v>6</v>
      </c>
      <c r="J35" s="47" t="n">
        <v>6</v>
      </c>
      <c r="K35" s="47" t="n">
        <v>0</v>
      </c>
      <c r="L35" s="47" t="n">
        <v>10</v>
      </c>
      <c r="M35" s="32" t="n">
        <v>90</v>
      </c>
      <c r="N35" s="47" t="n">
        <v>60</v>
      </c>
      <c r="O35" s="33" t="n">
        <v>75</v>
      </c>
      <c r="P35" s="48" t="s">
        <v>196</v>
      </c>
    </row>
    <row r="36" customFormat="false" ht="15" hidden="false" customHeight="false" outlineLevel="0" collapsed="false">
      <c r="A36" s="47" t="n">
        <v>7</v>
      </c>
      <c r="B36" s="48" t="s">
        <v>8</v>
      </c>
      <c r="C36" s="47" t="s">
        <v>197</v>
      </c>
      <c r="D36" s="47" t="n">
        <v>35</v>
      </c>
      <c r="E36" s="47" t="n">
        <v>35</v>
      </c>
      <c r="F36" s="47" t="n">
        <v>0</v>
      </c>
      <c r="G36" s="47" t="n">
        <v>5</v>
      </c>
      <c r="H36" s="47" t="n">
        <v>0</v>
      </c>
      <c r="I36" s="47" t="n">
        <v>0</v>
      </c>
      <c r="J36" s="47" t="n">
        <v>2</v>
      </c>
      <c r="K36" s="47" t="n">
        <v>5</v>
      </c>
      <c r="L36" s="47" t="n">
        <v>0</v>
      </c>
      <c r="M36" s="32" t="n">
        <v>82</v>
      </c>
      <c r="N36" s="47" t="n">
        <v>60</v>
      </c>
      <c r="O36" s="33" t="n">
        <v>71</v>
      </c>
      <c r="P36" s="48" t="s">
        <v>196</v>
      </c>
    </row>
    <row r="37" customFormat="false" ht="15" hidden="false" customHeight="false" outlineLevel="0" collapsed="false">
      <c r="A37" s="47" t="n">
        <v>7</v>
      </c>
      <c r="B37" s="48" t="s">
        <v>8</v>
      </c>
      <c r="C37" s="47" t="s">
        <v>198</v>
      </c>
      <c r="D37" s="47" t="n">
        <v>22</v>
      </c>
      <c r="E37" s="47" t="n">
        <v>40</v>
      </c>
      <c r="F37" s="47" t="n">
        <v>0</v>
      </c>
      <c r="G37" s="47" t="n">
        <v>0</v>
      </c>
      <c r="H37" s="47" t="n">
        <v>5</v>
      </c>
      <c r="I37" s="47" t="n">
        <v>5</v>
      </c>
      <c r="J37" s="47" t="n">
        <v>8</v>
      </c>
      <c r="K37" s="47" t="n">
        <v>10</v>
      </c>
      <c r="L37" s="47" t="n">
        <v>0</v>
      </c>
      <c r="M37" s="32" t="n">
        <v>90</v>
      </c>
      <c r="N37" s="47" t="n">
        <v>60</v>
      </c>
      <c r="O37" s="33" t="n">
        <v>75</v>
      </c>
      <c r="P37" s="48" t="s">
        <v>196</v>
      </c>
    </row>
    <row r="38" customFormat="false" ht="15" hidden="false" customHeight="false" outlineLevel="0" collapsed="false">
      <c r="A38" s="47" t="n">
        <v>7</v>
      </c>
      <c r="B38" s="48" t="s">
        <v>8</v>
      </c>
      <c r="C38" s="47" t="s">
        <v>199</v>
      </c>
      <c r="D38" s="47" t="n">
        <v>40</v>
      </c>
      <c r="E38" s="47" t="n">
        <v>40</v>
      </c>
      <c r="F38" s="47" t="n">
        <v>10</v>
      </c>
      <c r="G38" s="47" t="n">
        <v>0</v>
      </c>
      <c r="H38" s="47" t="n">
        <v>5</v>
      </c>
      <c r="I38" s="47" t="n">
        <v>4</v>
      </c>
      <c r="J38" s="47" t="n">
        <v>0</v>
      </c>
      <c r="K38" s="47" t="n">
        <v>0</v>
      </c>
      <c r="L38" s="47" t="n">
        <v>5</v>
      </c>
      <c r="M38" s="32" t="n">
        <v>104</v>
      </c>
      <c r="N38" s="47" t="n">
        <v>60</v>
      </c>
      <c r="O38" s="33" t="n">
        <v>82</v>
      </c>
      <c r="P38" s="48" t="s">
        <v>196</v>
      </c>
    </row>
    <row r="39" customFormat="false" ht="15" hidden="false" customHeight="false" outlineLevel="0" collapsed="false">
      <c r="A39" s="47" t="n">
        <v>7</v>
      </c>
      <c r="B39" s="48" t="s">
        <v>8</v>
      </c>
      <c r="C39" s="47" t="s">
        <v>200</v>
      </c>
      <c r="D39" s="47" t="n">
        <v>34</v>
      </c>
      <c r="E39" s="47" t="n">
        <v>40</v>
      </c>
      <c r="F39" s="47" t="n">
        <v>0</v>
      </c>
      <c r="G39" s="47" t="n">
        <v>5</v>
      </c>
      <c r="H39" s="47" t="n">
        <v>5</v>
      </c>
      <c r="I39" s="47" t="n">
        <v>7</v>
      </c>
      <c r="J39" s="47" t="n">
        <v>5</v>
      </c>
      <c r="K39" s="47" t="n">
        <v>5</v>
      </c>
      <c r="L39" s="47" t="n">
        <v>10</v>
      </c>
      <c r="M39" s="32" t="n">
        <v>111</v>
      </c>
      <c r="N39" s="47" t="n">
        <v>60</v>
      </c>
      <c r="O39" s="33" t="n">
        <v>85.5</v>
      </c>
      <c r="P39" s="48" t="s">
        <v>196</v>
      </c>
    </row>
    <row r="40" customFormat="false" ht="15" hidden="false" customHeight="false" outlineLevel="0" collapsed="false">
      <c r="A40" s="47" t="n">
        <v>8</v>
      </c>
      <c r="B40" s="48" t="s">
        <v>25</v>
      </c>
      <c r="C40" s="47" t="s">
        <v>75</v>
      </c>
      <c r="D40" s="47" t="n">
        <v>38</v>
      </c>
      <c r="E40" s="47" t="n">
        <v>35</v>
      </c>
      <c r="F40" s="47" t="n">
        <v>0</v>
      </c>
      <c r="G40" s="47" t="n">
        <v>5</v>
      </c>
      <c r="H40" s="47" t="n">
        <v>0</v>
      </c>
      <c r="I40" s="47" t="n">
        <v>2</v>
      </c>
      <c r="J40" s="47" t="n">
        <v>6</v>
      </c>
      <c r="K40" s="47" t="n">
        <v>5</v>
      </c>
      <c r="L40" s="47" t="n">
        <v>10</v>
      </c>
      <c r="M40" s="32" t="n">
        <v>101</v>
      </c>
      <c r="N40" s="47" t="n">
        <v>55</v>
      </c>
      <c r="O40" s="33" t="n">
        <v>78</v>
      </c>
      <c r="P40" s="48" t="s">
        <v>196</v>
      </c>
    </row>
    <row r="41" customFormat="false" ht="15" hidden="false" customHeight="false" outlineLevel="0" collapsed="false">
      <c r="A41" s="47" t="n">
        <v>8</v>
      </c>
      <c r="B41" s="48" t="s">
        <v>25</v>
      </c>
      <c r="C41" s="47" t="s">
        <v>197</v>
      </c>
      <c r="D41" s="47" t="n">
        <v>20</v>
      </c>
      <c r="E41" s="47" t="n">
        <v>20</v>
      </c>
      <c r="F41" s="47" t="n">
        <v>5</v>
      </c>
      <c r="G41" s="47" t="n">
        <v>2.5</v>
      </c>
      <c r="H41" s="47" t="n">
        <v>5</v>
      </c>
      <c r="I41" s="47" t="n">
        <v>3.5</v>
      </c>
      <c r="J41" s="47" t="n">
        <v>4</v>
      </c>
      <c r="K41" s="47" t="n">
        <v>5</v>
      </c>
      <c r="L41" s="47" t="n">
        <v>5</v>
      </c>
      <c r="M41" s="32" t="n">
        <v>70</v>
      </c>
      <c r="N41" s="47" t="n">
        <v>30</v>
      </c>
      <c r="O41" s="33" t="n">
        <v>50</v>
      </c>
      <c r="P41" s="48" t="s">
        <v>196</v>
      </c>
    </row>
    <row r="42" customFormat="false" ht="15" hidden="false" customHeight="false" outlineLevel="0" collapsed="false">
      <c r="A42" s="47" t="n">
        <v>8</v>
      </c>
      <c r="B42" s="48" t="s">
        <v>25</v>
      </c>
      <c r="C42" s="47" t="s">
        <v>198</v>
      </c>
      <c r="D42" s="47" t="n">
        <v>28</v>
      </c>
      <c r="E42" s="47" t="n">
        <v>26</v>
      </c>
      <c r="F42" s="47" t="n">
        <v>10</v>
      </c>
      <c r="G42" s="47" t="n">
        <v>0</v>
      </c>
      <c r="H42" s="47" t="n">
        <v>0</v>
      </c>
      <c r="I42" s="47" t="n">
        <v>0</v>
      </c>
      <c r="J42" s="47" t="n">
        <v>8</v>
      </c>
      <c r="K42" s="47" t="n">
        <v>10</v>
      </c>
      <c r="L42" s="47" t="n">
        <v>0</v>
      </c>
      <c r="M42" s="32" t="n">
        <v>82</v>
      </c>
      <c r="N42" s="47" t="n">
        <v>60</v>
      </c>
      <c r="O42" s="33" t="n">
        <v>71</v>
      </c>
      <c r="P42" s="48" t="s">
        <v>196</v>
      </c>
    </row>
    <row r="43" customFormat="false" ht="15" hidden="false" customHeight="false" outlineLevel="0" collapsed="false">
      <c r="A43" s="47" t="n">
        <v>8</v>
      </c>
      <c r="B43" s="48" t="s">
        <v>25</v>
      </c>
      <c r="C43" s="47" t="s">
        <v>199</v>
      </c>
      <c r="D43" s="47" t="n">
        <v>38</v>
      </c>
      <c r="E43" s="47" t="n">
        <v>11</v>
      </c>
      <c r="F43" s="47" t="n">
        <v>0</v>
      </c>
      <c r="G43" s="47" t="n">
        <v>0</v>
      </c>
      <c r="H43" s="47" t="n">
        <v>0</v>
      </c>
      <c r="I43" s="47" t="n">
        <v>3</v>
      </c>
      <c r="J43" s="47" t="n">
        <v>8</v>
      </c>
      <c r="K43" s="47" t="n">
        <v>0</v>
      </c>
      <c r="L43" s="47" t="n">
        <v>10</v>
      </c>
      <c r="M43" s="32" t="n">
        <v>70</v>
      </c>
      <c r="N43" s="47" t="n">
        <v>40</v>
      </c>
      <c r="O43" s="33" t="n">
        <v>55</v>
      </c>
      <c r="P43" s="48" t="s">
        <v>196</v>
      </c>
    </row>
    <row r="44" customFormat="false" ht="15" hidden="false" customHeight="false" outlineLevel="0" collapsed="false">
      <c r="A44" s="47" t="n">
        <v>8</v>
      </c>
      <c r="B44" s="48" t="s">
        <v>25</v>
      </c>
      <c r="C44" s="47" t="s">
        <v>200</v>
      </c>
      <c r="D44" s="47" t="n">
        <v>21</v>
      </c>
      <c r="E44" s="47" t="n">
        <v>40</v>
      </c>
      <c r="F44" s="47" t="n">
        <v>5</v>
      </c>
      <c r="G44" s="47" t="n">
        <v>0</v>
      </c>
      <c r="H44" s="47" t="n">
        <v>0</v>
      </c>
      <c r="I44" s="47" t="n">
        <v>3</v>
      </c>
      <c r="J44" s="47" t="n">
        <v>6</v>
      </c>
      <c r="K44" s="47" t="n">
        <v>0</v>
      </c>
      <c r="L44" s="47" t="n">
        <v>10</v>
      </c>
      <c r="M44" s="32" t="n">
        <v>85</v>
      </c>
      <c r="N44" s="47" t="n">
        <v>55</v>
      </c>
      <c r="O44" s="33" t="n">
        <v>70</v>
      </c>
      <c r="P44" s="48" t="s">
        <v>196</v>
      </c>
    </row>
    <row r="45" customFormat="false" ht="15" hidden="false" customHeight="false" outlineLevel="0" collapsed="false">
      <c r="A45" s="47" t="n">
        <v>9</v>
      </c>
      <c r="B45" s="48" t="s">
        <v>23</v>
      </c>
      <c r="C45" s="47" t="s">
        <v>75</v>
      </c>
      <c r="D45" s="47" t="n">
        <v>39</v>
      </c>
      <c r="E45" s="47" t="n">
        <v>21</v>
      </c>
      <c r="F45" s="47" t="n">
        <v>10</v>
      </c>
      <c r="G45" s="47" t="n">
        <v>0</v>
      </c>
      <c r="H45" s="47" t="n">
        <v>0</v>
      </c>
      <c r="I45" s="47" t="n">
        <v>5</v>
      </c>
      <c r="J45" s="47" t="n">
        <v>8</v>
      </c>
      <c r="K45" s="47" t="n">
        <v>5</v>
      </c>
      <c r="L45" s="47" t="n">
        <v>5</v>
      </c>
      <c r="M45" s="32" t="n">
        <v>93</v>
      </c>
      <c r="N45" s="47" t="n">
        <v>60</v>
      </c>
      <c r="O45" s="33" t="n">
        <v>76.5</v>
      </c>
      <c r="P45" s="48" t="s">
        <v>196</v>
      </c>
    </row>
    <row r="46" customFormat="false" ht="15" hidden="false" customHeight="false" outlineLevel="0" collapsed="false">
      <c r="A46" s="47" t="n">
        <v>9</v>
      </c>
      <c r="B46" s="48" t="s">
        <v>23</v>
      </c>
      <c r="C46" s="47" t="s">
        <v>197</v>
      </c>
      <c r="D46" s="47" t="n">
        <v>20</v>
      </c>
      <c r="E46" s="47" t="n">
        <v>20</v>
      </c>
      <c r="F46" s="47" t="n">
        <v>5</v>
      </c>
      <c r="G46" s="47" t="n">
        <v>2.5</v>
      </c>
      <c r="H46" s="47" t="n">
        <v>5</v>
      </c>
      <c r="I46" s="47" t="n">
        <v>3.5</v>
      </c>
      <c r="J46" s="47" t="n">
        <v>4</v>
      </c>
      <c r="K46" s="47" t="n">
        <v>5</v>
      </c>
      <c r="L46" s="47" t="n">
        <v>5</v>
      </c>
      <c r="M46" s="32" t="n">
        <v>70</v>
      </c>
      <c r="N46" s="47" t="n">
        <v>30</v>
      </c>
      <c r="O46" s="33" t="n">
        <v>50</v>
      </c>
      <c r="P46" s="48" t="s">
        <v>196</v>
      </c>
    </row>
    <row r="47" customFormat="false" ht="15" hidden="false" customHeight="false" outlineLevel="0" collapsed="false">
      <c r="A47" s="47" t="n">
        <v>9</v>
      </c>
      <c r="B47" s="48" t="s">
        <v>23</v>
      </c>
      <c r="C47" s="47" t="s">
        <v>198</v>
      </c>
      <c r="D47" s="47" t="n">
        <v>20</v>
      </c>
      <c r="E47" s="47" t="n">
        <v>20</v>
      </c>
      <c r="F47" s="47" t="n">
        <v>5</v>
      </c>
      <c r="G47" s="47" t="n">
        <v>2.5</v>
      </c>
      <c r="H47" s="47" t="n">
        <v>5</v>
      </c>
      <c r="I47" s="47" t="n">
        <v>3.5</v>
      </c>
      <c r="J47" s="47" t="n">
        <v>4</v>
      </c>
      <c r="K47" s="47" t="n">
        <v>5</v>
      </c>
      <c r="L47" s="47" t="n">
        <v>5</v>
      </c>
      <c r="M47" s="32" t="n">
        <v>70</v>
      </c>
      <c r="N47" s="47" t="n">
        <v>30</v>
      </c>
      <c r="O47" s="33" t="n">
        <v>50</v>
      </c>
      <c r="P47" s="48" t="s">
        <v>196</v>
      </c>
    </row>
    <row r="48" customFormat="false" ht="15" hidden="false" customHeight="false" outlineLevel="0" collapsed="false">
      <c r="A48" s="47" t="n">
        <v>9</v>
      </c>
      <c r="B48" s="48" t="s">
        <v>23</v>
      </c>
      <c r="C48" s="47" t="s">
        <v>199</v>
      </c>
      <c r="D48" s="47" t="n">
        <v>31</v>
      </c>
      <c r="E48" s="47" t="n">
        <v>38</v>
      </c>
      <c r="F48" s="47" t="n">
        <v>5</v>
      </c>
      <c r="G48" s="47" t="n">
        <v>5</v>
      </c>
      <c r="H48" s="47" t="n">
        <v>5</v>
      </c>
      <c r="I48" s="47" t="n">
        <v>5</v>
      </c>
      <c r="J48" s="47" t="n">
        <v>2</v>
      </c>
      <c r="K48" s="47" t="n">
        <v>5</v>
      </c>
      <c r="L48" s="47" t="n">
        <v>5</v>
      </c>
      <c r="M48" s="32" t="n">
        <v>101</v>
      </c>
      <c r="N48" s="47" t="n">
        <v>50</v>
      </c>
      <c r="O48" s="33" t="n">
        <v>75.5</v>
      </c>
      <c r="P48" s="48" t="s">
        <v>196</v>
      </c>
    </row>
    <row r="49" customFormat="false" ht="15" hidden="false" customHeight="false" outlineLevel="0" collapsed="false">
      <c r="A49" s="47" t="n">
        <v>9</v>
      </c>
      <c r="B49" s="48" t="s">
        <v>23</v>
      </c>
      <c r="C49" s="47" t="s">
        <v>200</v>
      </c>
      <c r="D49" s="47" t="n">
        <v>30</v>
      </c>
      <c r="E49" s="47" t="n">
        <v>36</v>
      </c>
      <c r="F49" s="47" t="n">
        <v>10</v>
      </c>
      <c r="G49" s="47" t="n">
        <v>0</v>
      </c>
      <c r="H49" s="47" t="n">
        <v>5</v>
      </c>
      <c r="I49" s="47" t="n">
        <v>4</v>
      </c>
      <c r="J49" s="47" t="n">
        <v>2</v>
      </c>
      <c r="K49" s="47" t="n">
        <v>5</v>
      </c>
      <c r="L49" s="47" t="n">
        <v>10</v>
      </c>
      <c r="M49" s="32" t="n">
        <v>102</v>
      </c>
      <c r="N49" s="47" t="n">
        <v>60</v>
      </c>
      <c r="O49" s="33" t="n">
        <v>81</v>
      </c>
      <c r="P49" s="48" t="s">
        <v>196</v>
      </c>
    </row>
    <row r="50" customFormat="false" ht="15" hidden="false" customHeight="false" outlineLevel="0" collapsed="false">
      <c r="A50" s="47" t="n">
        <v>10</v>
      </c>
      <c r="B50" s="48" t="s">
        <v>21</v>
      </c>
      <c r="C50" s="47" t="s">
        <v>75</v>
      </c>
      <c r="D50" s="47" t="n">
        <v>20</v>
      </c>
      <c r="E50" s="47" t="n">
        <v>20</v>
      </c>
      <c r="F50" s="47" t="n">
        <v>5</v>
      </c>
      <c r="G50" s="47" t="n">
        <v>2.5</v>
      </c>
      <c r="H50" s="47" t="n">
        <v>5</v>
      </c>
      <c r="I50" s="47" t="n">
        <v>3.5</v>
      </c>
      <c r="J50" s="47" t="n">
        <v>4</v>
      </c>
      <c r="K50" s="47" t="n">
        <v>5</v>
      </c>
      <c r="L50" s="47" t="n">
        <v>5</v>
      </c>
      <c r="M50" s="32" t="n">
        <v>70</v>
      </c>
      <c r="N50" s="47" t="n">
        <v>30</v>
      </c>
      <c r="O50" s="33" t="n">
        <v>50</v>
      </c>
      <c r="P50" s="48" t="s">
        <v>196</v>
      </c>
    </row>
    <row r="51" customFormat="false" ht="15" hidden="false" customHeight="false" outlineLevel="0" collapsed="false">
      <c r="A51" s="47" t="n">
        <v>10</v>
      </c>
      <c r="B51" s="48" t="s">
        <v>21</v>
      </c>
      <c r="C51" s="47" t="s">
        <v>197</v>
      </c>
      <c r="D51" s="47" t="n">
        <v>37</v>
      </c>
      <c r="E51" s="47" t="n">
        <v>38</v>
      </c>
      <c r="F51" s="47" t="n">
        <v>10</v>
      </c>
      <c r="G51" s="47" t="n">
        <v>5</v>
      </c>
      <c r="H51" s="47" t="n">
        <v>5</v>
      </c>
      <c r="I51" s="47" t="n">
        <v>2</v>
      </c>
      <c r="J51" s="47" t="n">
        <v>8</v>
      </c>
      <c r="K51" s="47" t="n">
        <v>5</v>
      </c>
      <c r="L51" s="47" t="n">
        <v>5</v>
      </c>
      <c r="M51" s="32" t="n">
        <v>115</v>
      </c>
      <c r="N51" s="47" t="n">
        <v>50</v>
      </c>
      <c r="O51" s="33" t="n">
        <v>82.5</v>
      </c>
      <c r="P51" s="48" t="s">
        <v>196</v>
      </c>
    </row>
    <row r="52" customFormat="false" ht="15" hidden="false" customHeight="false" outlineLevel="0" collapsed="false">
      <c r="A52" s="47" t="n">
        <v>10</v>
      </c>
      <c r="B52" s="48" t="s">
        <v>21</v>
      </c>
      <c r="C52" s="47" t="s">
        <v>198</v>
      </c>
      <c r="D52" s="47" t="n">
        <v>20</v>
      </c>
      <c r="E52" s="47" t="n">
        <v>20</v>
      </c>
      <c r="F52" s="47" t="n">
        <v>5</v>
      </c>
      <c r="G52" s="47" t="n">
        <v>2.5</v>
      </c>
      <c r="H52" s="47" t="n">
        <v>5</v>
      </c>
      <c r="I52" s="47" t="n">
        <v>3.5</v>
      </c>
      <c r="J52" s="47" t="n">
        <v>4</v>
      </c>
      <c r="K52" s="47" t="n">
        <v>5</v>
      </c>
      <c r="L52" s="47" t="n">
        <v>5</v>
      </c>
      <c r="M52" s="32" t="n">
        <v>70</v>
      </c>
      <c r="N52" s="47" t="n">
        <v>30</v>
      </c>
      <c r="O52" s="33" t="n">
        <v>50</v>
      </c>
      <c r="P52" s="48" t="s">
        <v>196</v>
      </c>
    </row>
    <row r="53" customFormat="false" ht="15" hidden="false" customHeight="false" outlineLevel="0" collapsed="false">
      <c r="A53" s="47" t="n">
        <v>10</v>
      </c>
      <c r="B53" s="48" t="s">
        <v>21</v>
      </c>
      <c r="C53" s="47" t="s">
        <v>199</v>
      </c>
      <c r="D53" s="47" t="n">
        <v>25</v>
      </c>
      <c r="E53" s="47" t="n">
        <v>23</v>
      </c>
      <c r="F53" s="47" t="n">
        <v>10</v>
      </c>
      <c r="G53" s="47" t="n">
        <v>5</v>
      </c>
      <c r="H53" s="47" t="n">
        <v>10</v>
      </c>
      <c r="I53" s="47" t="n">
        <v>6</v>
      </c>
      <c r="J53" s="47" t="n">
        <v>6</v>
      </c>
      <c r="K53" s="47" t="n">
        <v>8</v>
      </c>
      <c r="L53" s="47" t="n">
        <v>7.5</v>
      </c>
      <c r="M53" s="32" t="n">
        <v>100.5</v>
      </c>
      <c r="N53" s="47" t="n">
        <v>55</v>
      </c>
      <c r="O53" s="33" t="n">
        <v>77.8</v>
      </c>
      <c r="P53" s="48" t="s">
        <v>196</v>
      </c>
    </row>
    <row r="54" customFormat="false" ht="15" hidden="false" customHeight="false" outlineLevel="0" collapsed="false">
      <c r="A54" s="47" t="n">
        <v>10</v>
      </c>
      <c r="B54" s="48" t="s">
        <v>21</v>
      </c>
      <c r="C54" s="47" t="s">
        <v>200</v>
      </c>
      <c r="D54" s="47" t="n">
        <v>39</v>
      </c>
      <c r="E54" s="47" t="n">
        <v>18</v>
      </c>
      <c r="F54" s="47" t="n">
        <v>10</v>
      </c>
      <c r="G54" s="47" t="n">
        <v>5</v>
      </c>
      <c r="H54" s="47" t="n">
        <v>10</v>
      </c>
      <c r="I54" s="47" t="n">
        <v>6</v>
      </c>
      <c r="J54" s="47" t="n">
        <v>6</v>
      </c>
      <c r="K54" s="47" t="n">
        <v>10</v>
      </c>
      <c r="L54" s="47" t="n">
        <v>10</v>
      </c>
      <c r="M54" s="32" t="n">
        <v>114</v>
      </c>
      <c r="N54" s="47" t="n">
        <v>60</v>
      </c>
      <c r="O54" s="33" t="n">
        <v>87</v>
      </c>
      <c r="P54" s="48" t="s">
        <v>196</v>
      </c>
    </row>
    <row r="55" customFormat="false" ht="15" hidden="false" customHeight="false" outlineLevel="0" collapsed="false">
      <c r="A55" s="47" t="n">
        <v>11</v>
      </c>
      <c r="B55" s="48" t="s">
        <v>30</v>
      </c>
      <c r="C55" s="47" t="s">
        <v>75</v>
      </c>
      <c r="D55" s="47" t="n">
        <v>25</v>
      </c>
      <c r="E55" s="47" t="n">
        <v>38</v>
      </c>
      <c r="F55" s="47" t="n">
        <v>5</v>
      </c>
      <c r="G55" s="47" t="n">
        <v>5</v>
      </c>
      <c r="H55" s="47" t="n">
        <v>10</v>
      </c>
      <c r="I55" s="47" t="n">
        <v>7</v>
      </c>
      <c r="J55" s="47" t="n">
        <v>8</v>
      </c>
      <c r="K55" s="47" t="n">
        <v>5</v>
      </c>
      <c r="L55" s="47" t="n">
        <v>10</v>
      </c>
      <c r="M55" s="32" t="n">
        <v>113</v>
      </c>
      <c r="N55" s="47" t="n">
        <v>45</v>
      </c>
      <c r="O55" s="33" t="n">
        <v>79</v>
      </c>
      <c r="P55" s="48" t="s">
        <v>196</v>
      </c>
    </row>
    <row r="56" customFormat="false" ht="15" hidden="false" customHeight="false" outlineLevel="0" collapsed="false">
      <c r="A56" s="47" t="n">
        <v>11</v>
      </c>
      <c r="B56" s="48" t="s">
        <v>30</v>
      </c>
      <c r="C56" s="47" t="s">
        <v>197</v>
      </c>
      <c r="D56" s="47" t="n">
        <v>20</v>
      </c>
      <c r="E56" s="47" t="n">
        <v>20</v>
      </c>
      <c r="F56" s="47" t="n">
        <v>5</v>
      </c>
      <c r="G56" s="47" t="n">
        <v>2.5</v>
      </c>
      <c r="H56" s="47" t="n">
        <v>5</v>
      </c>
      <c r="I56" s="47" t="n">
        <v>3.5</v>
      </c>
      <c r="J56" s="47" t="n">
        <v>4</v>
      </c>
      <c r="K56" s="47" t="n">
        <v>5</v>
      </c>
      <c r="L56" s="47" t="n">
        <v>5</v>
      </c>
      <c r="M56" s="32" t="n">
        <v>70</v>
      </c>
      <c r="N56" s="47" t="n">
        <v>30</v>
      </c>
      <c r="O56" s="33" t="n">
        <v>50</v>
      </c>
      <c r="P56" s="48" t="s">
        <v>196</v>
      </c>
    </row>
    <row r="57" customFormat="false" ht="15" hidden="false" customHeight="false" outlineLevel="0" collapsed="false">
      <c r="A57" s="47" t="n">
        <v>11</v>
      </c>
      <c r="B57" s="48" t="s">
        <v>30</v>
      </c>
      <c r="C57" s="47" t="s">
        <v>198</v>
      </c>
      <c r="D57" s="47" t="n">
        <v>20</v>
      </c>
      <c r="E57" s="47" t="n">
        <v>20</v>
      </c>
      <c r="F57" s="47" t="n">
        <v>5</v>
      </c>
      <c r="G57" s="47" t="n">
        <v>2.5</v>
      </c>
      <c r="H57" s="47" t="n">
        <v>5</v>
      </c>
      <c r="I57" s="47" t="n">
        <v>3.5</v>
      </c>
      <c r="J57" s="47" t="n">
        <v>4</v>
      </c>
      <c r="K57" s="47" t="n">
        <v>5</v>
      </c>
      <c r="L57" s="47" t="n">
        <v>5</v>
      </c>
      <c r="M57" s="32" t="n">
        <v>70</v>
      </c>
      <c r="N57" s="47" t="n">
        <v>30</v>
      </c>
      <c r="O57" s="33" t="n">
        <v>50</v>
      </c>
      <c r="P57" s="48" t="s">
        <v>196</v>
      </c>
    </row>
    <row r="58" customFormat="false" ht="15" hidden="false" customHeight="false" outlineLevel="0" collapsed="false">
      <c r="A58" s="47" t="n">
        <v>11</v>
      </c>
      <c r="B58" s="48" t="s">
        <v>30</v>
      </c>
      <c r="C58" s="47" t="s">
        <v>199</v>
      </c>
      <c r="D58" s="47" t="n">
        <v>20</v>
      </c>
      <c r="E58" s="47" t="n">
        <v>20</v>
      </c>
      <c r="F58" s="47" t="n">
        <v>5</v>
      </c>
      <c r="G58" s="47" t="n">
        <v>2.5</v>
      </c>
      <c r="H58" s="47" t="n">
        <v>5</v>
      </c>
      <c r="I58" s="47" t="n">
        <v>3.5</v>
      </c>
      <c r="J58" s="47" t="n">
        <v>4</v>
      </c>
      <c r="K58" s="47" t="n">
        <v>5</v>
      </c>
      <c r="L58" s="47" t="n">
        <v>5</v>
      </c>
      <c r="M58" s="32" t="n">
        <v>70</v>
      </c>
      <c r="N58" s="47" t="n">
        <v>30</v>
      </c>
      <c r="O58" s="33" t="n">
        <v>50</v>
      </c>
      <c r="P58" s="48" t="s">
        <v>196</v>
      </c>
    </row>
    <row r="59" customFormat="false" ht="15" hidden="false" customHeight="false" outlineLevel="0" collapsed="false">
      <c r="A59" s="47" t="n">
        <v>11</v>
      </c>
      <c r="B59" s="48" t="s">
        <v>30</v>
      </c>
      <c r="C59" s="47" t="s">
        <v>200</v>
      </c>
      <c r="D59" s="47" t="n">
        <v>20</v>
      </c>
      <c r="E59" s="47" t="n">
        <v>20</v>
      </c>
      <c r="F59" s="47" t="n">
        <v>5</v>
      </c>
      <c r="G59" s="47" t="n">
        <v>2.5</v>
      </c>
      <c r="H59" s="47" t="n">
        <v>5</v>
      </c>
      <c r="I59" s="47" t="n">
        <v>3.5</v>
      </c>
      <c r="J59" s="47" t="n">
        <v>4</v>
      </c>
      <c r="K59" s="47" t="n">
        <v>5</v>
      </c>
      <c r="L59" s="47" t="n">
        <v>5</v>
      </c>
      <c r="M59" s="32" t="n">
        <v>70</v>
      </c>
      <c r="N59" s="47" t="n">
        <v>30</v>
      </c>
      <c r="O59" s="33" t="n">
        <v>50</v>
      </c>
      <c r="P59" s="48" t="s">
        <v>196</v>
      </c>
    </row>
    <row r="60" customFormat="false" ht="15" hidden="false" customHeight="false" outlineLevel="0" collapsed="false">
      <c r="A60" s="47" t="n">
        <v>12</v>
      </c>
      <c r="B60" s="48" t="s">
        <v>31</v>
      </c>
      <c r="C60" s="47" t="s">
        <v>75</v>
      </c>
      <c r="D60" s="47" t="n">
        <v>0</v>
      </c>
      <c r="E60" s="47" t="n">
        <v>21</v>
      </c>
      <c r="F60" s="47" t="n">
        <v>10</v>
      </c>
      <c r="G60" s="47" t="n">
        <v>0</v>
      </c>
      <c r="H60" s="47" t="n">
        <v>0</v>
      </c>
      <c r="I60" s="47" t="n">
        <v>4</v>
      </c>
      <c r="J60" s="47" t="n">
        <v>6</v>
      </c>
      <c r="K60" s="47" t="n">
        <v>0</v>
      </c>
      <c r="L60" s="47" t="n">
        <v>5</v>
      </c>
      <c r="M60" s="32" t="n">
        <v>46</v>
      </c>
      <c r="N60" s="47" t="n">
        <v>50</v>
      </c>
      <c r="O60" s="33" t="n">
        <v>48</v>
      </c>
      <c r="P60" s="48" t="s">
        <v>196</v>
      </c>
    </row>
    <row r="61" customFormat="false" ht="15" hidden="false" customHeight="false" outlineLevel="0" collapsed="false">
      <c r="A61" s="47" t="n">
        <v>12</v>
      </c>
      <c r="B61" s="48" t="s">
        <v>31</v>
      </c>
      <c r="C61" s="47" t="s">
        <v>197</v>
      </c>
      <c r="D61" s="47" t="n">
        <v>20</v>
      </c>
      <c r="E61" s="47" t="n">
        <v>20</v>
      </c>
      <c r="F61" s="47" t="n">
        <v>5</v>
      </c>
      <c r="G61" s="47" t="n">
        <v>2.5</v>
      </c>
      <c r="H61" s="47" t="n">
        <v>5</v>
      </c>
      <c r="I61" s="47" t="n">
        <v>3.5</v>
      </c>
      <c r="J61" s="47" t="n">
        <v>4</v>
      </c>
      <c r="K61" s="47" t="n">
        <v>5</v>
      </c>
      <c r="L61" s="47" t="n">
        <v>5</v>
      </c>
      <c r="M61" s="32" t="n">
        <v>70</v>
      </c>
      <c r="N61" s="47" t="n">
        <v>30</v>
      </c>
      <c r="O61" s="33" t="n">
        <v>50</v>
      </c>
      <c r="P61" s="48" t="s">
        <v>196</v>
      </c>
    </row>
    <row r="62" customFormat="false" ht="15" hidden="false" customHeight="false" outlineLevel="0" collapsed="false">
      <c r="A62" s="47" t="n">
        <v>12</v>
      </c>
      <c r="B62" s="48" t="s">
        <v>31</v>
      </c>
      <c r="C62" s="47" t="s">
        <v>198</v>
      </c>
      <c r="D62" s="47" t="n">
        <v>20</v>
      </c>
      <c r="E62" s="47" t="n">
        <v>20</v>
      </c>
      <c r="F62" s="47" t="n">
        <v>5</v>
      </c>
      <c r="G62" s="47" t="n">
        <v>2.5</v>
      </c>
      <c r="H62" s="47" t="n">
        <v>5</v>
      </c>
      <c r="I62" s="47" t="n">
        <v>3.5</v>
      </c>
      <c r="J62" s="47" t="n">
        <v>4</v>
      </c>
      <c r="K62" s="47" t="n">
        <v>5</v>
      </c>
      <c r="L62" s="47" t="n">
        <v>5</v>
      </c>
      <c r="M62" s="32" t="n">
        <v>70</v>
      </c>
      <c r="N62" s="47" t="n">
        <v>30</v>
      </c>
      <c r="O62" s="33" t="n">
        <v>50</v>
      </c>
      <c r="P62" s="48" t="s">
        <v>196</v>
      </c>
    </row>
    <row r="63" customFormat="false" ht="15" hidden="false" customHeight="false" outlineLevel="0" collapsed="false">
      <c r="A63" s="47" t="n">
        <v>12</v>
      </c>
      <c r="B63" s="48" t="s">
        <v>31</v>
      </c>
      <c r="C63" s="47" t="s">
        <v>199</v>
      </c>
      <c r="D63" s="47" t="n">
        <v>20</v>
      </c>
      <c r="E63" s="47" t="n">
        <v>20</v>
      </c>
      <c r="F63" s="47" t="n">
        <v>5</v>
      </c>
      <c r="G63" s="47" t="n">
        <v>2.5</v>
      </c>
      <c r="H63" s="47" t="n">
        <v>5</v>
      </c>
      <c r="I63" s="47" t="n">
        <v>3.5</v>
      </c>
      <c r="J63" s="47" t="n">
        <v>4</v>
      </c>
      <c r="K63" s="47" t="n">
        <v>5</v>
      </c>
      <c r="L63" s="47" t="n">
        <v>5</v>
      </c>
      <c r="M63" s="32" t="n">
        <v>70</v>
      </c>
      <c r="N63" s="47" t="n">
        <v>30</v>
      </c>
      <c r="O63" s="33" t="n">
        <v>50</v>
      </c>
      <c r="P63" s="48" t="s">
        <v>196</v>
      </c>
    </row>
    <row r="64" customFormat="false" ht="15" hidden="false" customHeight="false" outlineLevel="0" collapsed="false">
      <c r="A64" s="47" t="n">
        <v>12</v>
      </c>
      <c r="B64" s="48" t="s">
        <v>31</v>
      </c>
      <c r="C64" s="47" t="s">
        <v>200</v>
      </c>
      <c r="D64" s="47" t="n">
        <v>20</v>
      </c>
      <c r="E64" s="47" t="n">
        <v>20</v>
      </c>
      <c r="F64" s="47" t="n">
        <v>5</v>
      </c>
      <c r="G64" s="47" t="n">
        <v>2.5</v>
      </c>
      <c r="H64" s="47" t="n">
        <v>5</v>
      </c>
      <c r="I64" s="47" t="n">
        <v>3.5</v>
      </c>
      <c r="J64" s="47" t="n">
        <v>4</v>
      </c>
      <c r="K64" s="47" t="n">
        <v>5</v>
      </c>
      <c r="L64" s="47" t="n">
        <v>5</v>
      </c>
      <c r="M64" s="32" t="n">
        <v>70</v>
      </c>
      <c r="N64" s="47" t="n">
        <v>30</v>
      </c>
      <c r="O64" s="33" t="n">
        <v>50</v>
      </c>
      <c r="P64" s="48" t="s">
        <v>196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49" t="s">
        <v>201</v>
      </c>
    </row>
    <row r="3" customFormat="false" ht="15" hidden="false" customHeight="false" outlineLevel="0" collapsed="false">
      <c r="A3" s="21" t="s">
        <v>202</v>
      </c>
    </row>
    <row r="4" customFormat="false" ht="15" hidden="false" customHeight="false" outlineLevel="0" collapsed="false">
      <c r="A4" s="50" t="s">
        <v>203</v>
      </c>
      <c r="B4" s="50" t="s">
        <v>120</v>
      </c>
    </row>
    <row r="5" customFormat="false" ht="16.4" hidden="false" customHeight="false" outlineLevel="0" collapsed="false">
      <c r="A5" s="40" t="s">
        <v>123</v>
      </c>
      <c r="B5" s="31" t="n">
        <v>40</v>
      </c>
    </row>
    <row r="6" customFormat="false" ht="16.4" hidden="false" customHeight="false" outlineLevel="0" collapsed="false">
      <c r="A6" s="40" t="s">
        <v>126</v>
      </c>
      <c r="B6" s="31" t="n">
        <v>40</v>
      </c>
    </row>
    <row r="7" customFormat="false" ht="15" hidden="false" customHeight="false" outlineLevel="0" collapsed="false">
      <c r="A7" s="40" t="s">
        <v>128</v>
      </c>
      <c r="B7" s="31" t="n">
        <v>10</v>
      </c>
    </row>
    <row r="8" customFormat="false" ht="15" hidden="false" customHeight="false" outlineLevel="0" collapsed="false">
      <c r="A8" s="40" t="s">
        <v>130</v>
      </c>
      <c r="B8" s="31" t="n">
        <v>5</v>
      </c>
    </row>
    <row r="9" customFormat="false" ht="15" hidden="false" customHeight="false" outlineLevel="0" collapsed="false">
      <c r="A9" s="40" t="s">
        <v>132</v>
      </c>
      <c r="B9" s="31" t="n">
        <v>10</v>
      </c>
    </row>
    <row r="10" customFormat="false" ht="15" hidden="false" customHeight="false" outlineLevel="0" collapsed="false">
      <c r="A10" s="40" t="s">
        <v>135</v>
      </c>
      <c r="B10" s="31" t="n">
        <v>7</v>
      </c>
    </row>
    <row r="11" customFormat="false" ht="15" hidden="false" customHeight="false" outlineLevel="0" collapsed="false">
      <c r="A11" s="40" t="s">
        <v>137</v>
      </c>
      <c r="B11" s="31" t="n">
        <v>8</v>
      </c>
    </row>
    <row r="12" customFormat="false" ht="15" hidden="false" customHeight="false" outlineLevel="0" collapsed="false">
      <c r="A12" s="40" t="s">
        <v>139</v>
      </c>
      <c r="B12" s="31" t="n">
        <v>10</v>
      </c>
    </row>
    <row r="13" customFormat="false" ht="15" hidden="false" customHeight="false" outlineLevel="0" collapsed="false">
      <c r="A13" s="40" t="s">
        <v>141</v>
      </c>
      <c r="B13" s="31" t="n">
        <v>10</v>
      </c>
    </row>
    <row r="15" customFormat="false" ht="15" hidden="false" customHeight="false" outlineLevel="0" collapsed="false">
      <c r="A15" s="40" t="s">
        <v>194</v>
      </c>
      <c r="B15" s="51" t="n">
        <v>60</v>
      </c>
    </row>
    <row r="17" customFormat="false" ht="11.9" hidden="false" customHeight="false" outlineLevel="0" collapsed="false">
      <c r="A17" s="23" t="s">
        <v>204</v>
      </c>
      <c r="B17" s="23"/>
      <c r="C17" s="23"/>
      <c r="D17" s="23"/>
    </row>
  </sheetData>
  <mergeCells count="1"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5"/>
  </cols>
  <sheetData>
    <row r="1" customFormat="false" ht="19.7" hidden="false" customHeight="false" outlineLevel="0" collapsed="false">
      <c r="A1" s="24" t="s">
        <v>205</v>
      </c>
      <c r="B1" s="24"/>
    </row>
    <row r="3" customFormat="false" ht="15" hidden="false" customHeight="false" outlineLevel="0" collapsed="false">
      <c r="A3" s="52" t="s">
        <v>206</v>
      </c>
    </row>
    <row r="4" customFormat="false" ht="12.65" hidden="false" customHeight="false" outlineLevel="0" collapsed="false">
      <c r="A4" s="53" t="s">
        <v>207</v>
      </c>
      <c r="B4" s="54" t="s">
        <v>208</v>
      </c>
    </row>
    <row r="5" customFormat="false" ht="12.65" hidden="false" customHeight="false" outlineLevel="0" collapsed="false">
      <c r="A5" s="53" t="s">
        <v>209</v>
      </c>
      <c r="B5" s="54" t="s">
        <v>210</v>
      </c>
    </row>
    <row r="6" customFormat="false" ht="12.65" hidden="false" customHeight="false" outlineLevel="0" collapsed="false">
      <c r="A6" s="53" t="s">
        <v>211</v>
      </c>
      <c r="B6" s="54" t="s">
        <v>212</v>
      </c>
    </row>
    <row r="7" customFormat="false" ht="12.65" hidden="false" customHeight="false" outlineLevel="0" collapsed="false">
      <c r="A7" s="53" t="s">
        <v>213</v>
      </c>
      <c r="B7" s="54" t="s">
        <v>214</v>
      </c>
    </row>
    <row r="8" customFormat="false" ht="12.65" hidden="false" customHeight="false" outlineLevel="0" collapsed="false">
      <c r="A8" s="53" t="s">
        <v>215</v>
      </c>
      <c r="B8" s="54" t="s">
        <v>216</v>
      </c>
    </row>
    <row r="9" customFormat="false" ht="12.65" hidden="false" customHeight="false" outlineLevel="0" collapsed="false">
      <c r="A9" s="53" t="s">
        <v>217</v>
      </c>
      <c r="B9" s="54" t="s">
        <v>218</v>
      </c>
    </row>
    <row r="10" customFormat="false" ht="12.65" hidden="false" customHeight="false" outlineLevel="0" collapsed="false">
      <c r="A10" s="53" t="s">
        <v>219</v>
      </c>
      <c r="B10" s="54" t="s">
        <v>220</v>
      </c>
    </row>
    <row r="11" customFormat="false" ht="12.65" hidden="false" customHeight="false" outlineLevel="0" collapsed="false">
      <c r="A11" s="53" t="s">
        <v>221</v>
      </c>
      <c r="B11" s="54" t="s">
        <v>222</v>
      </c>
    </row>
    <row r="12" customFormat="false" ht="12.65" hidden="false" customHeight="false" outlineLevel="0" collapsed="false">
      <c r="A12" s="53" t="s">
        <v>223</v>
      </c>
      <c r="B12" s="54" t="s">
        <v>224</v>
      </c>
    </row>
    <row r="14" customFormat="false" ht="15" hidden="false" customHeight="false" outlineLevel="0" collapsed="false">
      <c r="A14" s="52" t="s">
        <v>225</v>
      </c>
    </row>
    <row r="15" customFormat="false" ht="15" hidden="false" customHeight="false" outlineLevel="0" collapsed="false">
      <c r="A15" s="53" t="s">
        <v>226</v>
      </c>
      <c r="B15" s="54" t="s">
        <v>227</v>
      </c>
    </row>
    <row r="16" customFormat="false" ht="15" hidden="false" customHeight="false" outlineLevel="0" collapsed="false">
      <c r="A16" s="53" t="s">
        <v>228</v>
      </c>
      <c r="B16" s="54" t="s">
        <v>229</v>
      </c>
    </row>
    <row r="17" customFormat="false" ht="15" hidden="false" customHeight="false" outlineLevel="0" collapsed="false">
      <c r="A17" s="53" t="s">
        <v>230</v>
      </c>
      <c r="B17" s="54" t="s">
        <v>231</v>
      </c>
    </row>
    <row r="18" customFormat="false" ht="15" hidden="false" customHeight="false" outlineLevel="0" collapsed="false">
      <c r="A18" s="53" t="s">
        <v>232</v>
      </c>
      <c r="B18" s="54" t="s">
        <v>233</v>
      </c>
    </row>
    <row r="19" customFormat="false" ht="15" hidden="false" customHeight="false" outlineLevel="0" collapsed="false">
      <c r="A19" s="53" t="s">
        <v>234</v>
      </c>
      <c r="B19" s="54" t="s">
        <v>235</v>
      </c>
    </row>
    <row r="21" customFormat="false" ht="15" hidden="false" customHeight="false" outlineLevel="0" collapsed="false">
      <c r="A21" s="52" t="s">
        <v>236</v>
      </c>
    </row>
    <row r="22" customFormat="false" ht="15" hidden="false" customHeight="false" outlineLevel="0" collapsed="false">
      <c r="A22" s="53" t="s">
        <v>237</v>
      </c>
      <c r="B22" s="54" t="s">
        <v>238</v>
      </c>
    </row>
    <row r="23" customFormat="false" ht="15" hidden="false" customHeight="false" outlineLevel="0" collapsed="false">
      <c r="A23" s="53" t="s">
        <v>239</v>
      </c>
      <c r="B23" s="54" t="s">
        <v>240</v>
      </c>
    </row>
    <row r="24" customFormat="false" ht="15" hidden="false" customHeight="false" outlineLevel="0" collapsed="false">
      <c r="A24" s="53" t="s">
        <v>241</v>
      </c>
      <c r="B24" s="54" t="s">
        <v>242</v>
      </c>
    </row>
    <row r="25" customFormat="false" ht="15" hidden="false" customHeight="false" outlineLevel="0" collapsed="false">
      <c r="A25" s="53" t="s">
        <v>243</v>
      </c>
      <c r="B25" s="54" t="s">
        <v>244</v>
      </c>
    </row>
    <row r="26" customFormat="false" ht="15" hidden="false" customHeight="false" outlineLevel="0" collapsed="false">
      <c r="A26" s="53" t="s">
        <v>139</v>
      </c>
      <c r="B26" s="54" t="s">
        <v>245</v>
      </c>
    </row>
    <row r="27" customFormat="false" ht="15" hidden="false" customHeight="false" outlineLevel="0" collapsed="false">
      <c r="A27" s="53" t="s">
        <v>246</v>
      </c>
      <c r="B27" s="54" t="s">
        <v>247</v>
      </c>
    </row>
    <row r="28" customFormat="false" ht="15" hidden="false" customHeight="false" outlineLevel="0" collapsed="false">
      <c r="A28" s="53" t="s">
        <v>194</v>
      </c>
      <c r="B28" s="54" t="s">
        <v>248</v>
      </c>
    </row>
    <row r="29" customFormat="false" ht="15" hidden="false" customHeight="false" outlineLevel="0" collapsed="false">
      <c r="A29" s="53" t="s">
        <v>89</v>
      </c>
      <c r="B29" s="54" t="s">
        <v>249</v>
      </c>
    </row>
    <row r="31" customFormat="false" ht="15" hidden="false" customHeight="false" outlineLevel="0" collapsed="false">
      <c r="A31" s="52" t="s">
        <v>250</v>
      </c>
    </row>
    <row r="32" customFormat="false" ht="15" hidden="false" customHeight="false" outlineLevel="0" collapsed="false">
      <c r="A32" s="53" t="s">
        <v>251</v>
      </c>
      <c r="B32" s="54" t="s">
        <v>252</v>
      </c>
    </row>
    <row r="33" customFormat="false" ht="15" hidden="false" customHeight="false" outlineLevel="0" collapsed="false">
      <c r="A33" s="53" t="s">
        <v>251</v>
      </c>
      <c r="B33" s="54" t="s">
        <v>253</v>
      </c>
    </row>
    <row r="34" customFormat="false" ht="15" hidden="false" customHeight="false" outlineLevel="0" collapsed="false">
      <c r="A34" s="53" t="s">
        <v>251</v>
      </c>
      <c r="B34" s="54" t="s">
        <v>254</v>
      </c>
    </row>
    <row r="35" customFormat="false" ht="15" hidden="false" customHeight="false" outlineLevel="0" collapsed="false">
      <c r="A35" s="53" t="s">
        <v>251</v>
      </c>
      <c r="B35" s="54" t="s">
        <v>255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256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257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67</v>
      </c>
      <c r="B6" s="57"/>
      <c r="C6" s="57" t="n">
        <v>50</v>
      </c>
      <c r="D6" s="57"/>
      <c r="E6" s="57" t="n">
        <v>27.75</v>
      </c>
      <c r="F6" s="57"/>
      <c r="G6" s="57" t="n">
        <v>39.5</v>
      </c>
      <c r="H6" s="57"/>
      <c r="I6" s="57" t="n">
        <v>67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38</v>
      </c>
      <c r="C10" s="47" t="n">
        <v>23</v>
      </c>
      <c r="D10" s="47" t="n">
        <v>5</v>
      </c>
      <c r="E10" s="47" t="n">
        <v>0</v>
      </c>
      <c r="F10" s="47" t="n">
        <v>10</v>
      </c>
      <c r="G10" s="47" t="n">
        <v>7</v>
      </c>
      <c r="H10" s="47" t="n">
        <v>8</v>
      </c>
      <c r="I10" s="47" t="n">
        <v>0</v>
      </c>
      <c r="J10" s="47" t="n">
        <v>10</v>
      </c>
      <c r="K10" s="32" t="n">
        <v>101</v>
      </c>
      <c r="L10" s="47" t="n">
        <v>60</v>
      </c>
      <c r="M10" s="33" t="n">
        <v>80.5</v>
      </c>
    </row>
    <row r="11" customFormat="false" ht="15" hidden="false" customHeight="false" outlineLevel="0" collapsed="false">
      <c r="A11" s="47" t="s">
        <v>197</v>
      </c>
      <c r="B11" s="47" t="n">
        <v>19</v>
      </c>
      <c r="C11" s="47" t="n">
        <v>37</v>
      </c>
      <c r="D11" s="47" t="n">
        <v>5</v>
      </c>
      <c r="E11" s="47" t="n">
        <v>5</v>
      </c>
      <c r="F11" s="47" t="n">
        <v>10</v>
      </c>
      <c r="G11" s="47" t="n">
        <v>2</v>
      </c>
      <c r="H11" s="47" t="n">
        <v>2</v>
      </c>
      <c r="I11" s="47" t="n">
        <v>0</v>
      </c>
      <c r="J11" s="47" t="n">
        <v>0</v>
      </c>
      <c r="K11" s="32" t="n">
        <v>80</v>
      </c>
      <c r="L11" s="47" t="n">
        <v>50</v>
      </c>
      <c r="M11" s="33" t="n">
        <v>65</v>
      </c>
    </row>
    <row r="12" customFormat="false" ht="15" hidden="false" customHeight="false" outlineLevel="0" collapsed="false">
      <c r="A12" s="47" t="s">
        <v>198</v>
      </c>
      <c r="B12" s="47" t="n">
        <v>21</v>
      </c>
      <c r="C12" s="47" t="n">
        <v>21</v>
      </c>
      <c r="D12" s="47" t="n">
        <v>0</v>
      </c>
      <c r="E12" s="47" t="n">
        <v>5</v>
      </c>
      <c r="F12" s="47" t="n">
        <v>5</v>
      </c>
      <c r="G12" s="47" t="n">
        <v>3</v>
      </c>
      <c r="H12" s="47" t="n">
        <v>2</v>
      </c>
      <c r="I12" s="47" t="n">
        <v>5</v>
      </c>
      <c r="J12" s="47" t="n">
        <v>5</v>
      </c>
      <c r="K12" s="32" t="n">
        <v>67</v>
      </c>
      <c r="L12" s="47" t="n">
        <v>60</v>
      </c>
      <c r="M12" s="33" t="n">
        <v>63.5</v>
      </c>
    </row>
    <row r="13" customFormat="false" ht="15" hidden="false" customHeight="false" outlineLevel="0" collapsed="false">
      <c r="A13" s="47" t="s">
        <v>199</v>
      </c>
      <c r="B13" s="47" t="n">
        <v>20</v>
      </c>
      <c r="C13" s="47" t="n">
        <v>40</v>
      </c>
      <c r="D13" s="47" t="n">
        <v>5</v>
      </c>
      <c r="E13" s="47" t="n">
        <v>5</v>
      </c>
      <c r="F13" s="47" t="n">
        <v>5</v>
      </c>
      <c r="G13" s="47" t="n">
        <v>1</v>
      </c>
      <c r="H13" s="47" t="n">
        <v>4</v>
      </c>
      <c r="I13" s="47" t="n">
        <v>0</v>
      </c>
      <c r="J13" s="47" t="n">
        <v>10</v>
      </c>
      <c r="K13" s="32" t="n">
        <v>90</v>
      </c>
      <c r="L13" s="47" t="n">
        <v>40</v>
      </c>
      <c r="M13" s="33" t="n">
        <v>65</v>
      </c>
    </row>
    <row r="14" customFormat="false" ht="15" hidden="false" customHeight="false" outlineLevel="0" collapsed="false">
      <c r="A14" s="47" t="s">
        <v>200</v>
      </c>
      <c r="B14" s="47" t="n">
        <v>39</v>
      </c>
      <c r="C14" s="47" t="n">
        <v>26</v>
      </c>
      <c r="D14" s="47" t="n">
        <v>0</v>
      </c>
      <c r="E14" s="47" t="n">
        <v>5</v>
      </c>
      <c r="F14" s="47" t="n">
        <v>0</v>
      </c>
      <c r="G14" s="47" t="n">
        <v>2</v>
      </c>
      <c r="H14" s="47" t="n">
        <v>2</v>
      </c>
      <c r="I14" s="47" t="n">
        <v>5</v>
      </c>
      <c r="J14" s="47" t="n">
        <v>0</v>
      </c>
      <c r="K14" s="32" t="n">
        <v>79</v>
      </c>
      <c r="L14" s="47" t="n">
        <v>40</v>
      </c>
      <c r="M14" s="33" t="n">
        <v>59.5</v>
      </c>
    </row>
    <row r="15" customFormat="false" ht="15" hidden="false" customHeight="false" outlineLevel="0" collapsed="false">
      <c r="A15" s="58" t="s">
        <v>260</v>
      </c>
      <c r="B15" s="59" t="n">
        <v>27.4</v>
      </c>
      <c r="C15" s="59" t="n">
        <v>29.4</v>
      </c>
      <c r="D15" s="59" t="n">
        <v>3</v>
      </c>
      <c r="E15" s="59" t="n">
        <v>4</v>
      </c>
      <c r="F15" s="59" t="n">
        <v>6</v>
      </c>
      <c r="G15" s="59" t="n">
        <v>3</v>
      </c>
      <c r="H15" s="59" t="n">
        <v>3.6</v>
      </c>
      <c r="I15" s="59" t="n">
        <v>2</v>
      </c>
      <c r="J15" s="59" t="n">
        <v>5</v>
      </c>
    </row>
    <row r="16" customFormat="false" ht="15" hidden="false" customHeight="false" outlineLevel="0" collapsed="false">
      <c r="A16" s="60" t="s">
        <v>261</v>
      </c>
      <c r="B16" s="59" t="s">
        <v>262</v>
      </c>
      <c r="C16" s="59" t="s">
        <v>263</v>
      </c>
      <c r="D16" s="61" t="s">
        <v>264</v>
      </c>
      <c r="E16" s="62" t="s">
        <v>265</v>
      </c>
      <c r="F16" s="59" t="s">
        <v>266</v>
      </c>
      <c r="G16" s="61" t="s">
        <v>267</v>
      </c>
      <c r="H16" s="61" t="s">
        <v>268</v>
      </c>
      <c r="I16" s="61" t="s">
        <v>269</v>
      </c>
      <c r="J16" s="61" t="s">
        <v>270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273</v>
      </c>
    </row>
    <row r="20" customFormat="false" ht="15" hidden="false" customHeight="false" outlineLevel="0" collapsed="false">
      <c r="A20" s="64" t="s">
        <v>274</v>
      </c>
      <c r="B20" s="54" t="s">
        <v>275</v>
      </c>
    </row>
    <row r="21" customFormat="false" ht="39.75" hidden="false" customHeight="true" outlineLevel="0" collapsed="false">
      <c r="A21" s="65" t="s">
        <v>276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68</v>
      </c>
      <c r="B25" s="68" t="n">
        <v>74</v>
      </c>
      <c r="C25" s="68" t="n">
        <v>30</v>
      </c>
      <c r="D25" s="68" t="n">
        <v>80</v>
      </c>
      <c r="E25" s="68" t="n">
        <v>60</v>
      </c>
      <c r="F25" s="68" t="n">
        <v>43</v>
      </c>
      <c r="G25" s="68" t="n">
        <v>45</v>
      </c>
      <c r="H25" s="68" t="n">
        <v>20</v>
      </c>
      <c r="I25" s="68" t="n">
        <v>50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80.5</v>
      </c>
      <c r="B43" s="0" t="n">
        <v>65</v>
      </c>
      <c r="C43" s="0" t="n">
        <v>63.5</v>
      </c>
      <c r="D43" s="0" t="n">
        <v>65</v>
      </c>
      <c r="E43" s="0" t="n">
        <v>59.5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284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285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73</v>
      </c>
      <c r="B6" s="57"/>
      <c r="C6" s="57" t="n">
        <v>52</v>
      </c>
      <c r="D6" s="57"/>
      <c r="E6" s="57" t="n">
        <v>37</v>
      </c>
      <c r="F6" s="57"/>
      <c r="G6" s="57" t="n">
        <v>47.5</v>
      </c>
      <c r="H6" s="57"/>
      <c r="I6" s="57" t="n">
        <v>79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38</v>
      </c>
      <c r="C10" s="47" t="n">
        <v>28</v>
      </c>
      <c r="D10" s="47" t="n">
        <v>10</v>
      </c>
      <c r="E10" s="47" t="n">
        <v>0</v>
      </c>
      <c r="F10" s="47" t="n">
        <v>10</v>
      </c>
      <c r="G10" s="47" t="n">
        <v>6</v>
      </c>
      <c r="H10" s="47" t="n">
        <v>6</v>
      </c>
      <c r="I10" s="47" t="n">
        <v>0</v>
      </c>
      <c r="J10" s="47" t="n">
        <v>0</v>
      </c>
      <c r="K10" s="32" t="n">
        <v>98</v>
      </c>
      <c r="L10" s="47" t="n">
        <v>60</v>
      </c>
      <c r="M10" s="33" t="n">
        <v>79</v>
      </c>
    </row>
    <row r="11" customFormat="false" ht="15" hidden="false" customHeight="false" outlineLevel="0" collapsed="false">
      <c r="A11" s="47" t="s">
        <v>197</v>
      </c>
      <c r="B11" s="47" t="n">
        <v>30</v>
      </c>
      <c r="C11" s="47" t="n">
        <v>28</v>
      </c>
      <c r="D11" s="47" t="n">
        <v>5</v>
      </c>
      <c r="E11" s="47" t="n">
        <v>0</v>
      </c>
      <c r="F11" s="47" t="n">
        <v>0</v>
      </c>
      <c r="G11" s="47" t="n">
        <v>7</v>
      </c>
      <c r="H11" s="47" t="n">
        <v>4</v>
      </c>
      <c r="I11" s="47" t="n">
        <v>10</v>
      </c>
      <c r="J11" s="47" t="n">
        <v>0</v>
      </c>
      <c r="K11" s="32" t="n">
        <v>84</v>
      </c>
      <c r="L11" s="47" t="n">
        <v>45</v>
      </c>
      <c r="M11" s="33" t="n">
        <v>64.5</v>
      </c>
    </row>
    <row r="12" customFormat="false" ht="15" hidden="false" customHeight="false" outlineLevel="0" collapsed="false">
      <c r="A12" s="47" t="s">
        <v>198</v>
      </c>
      <c r="B12" s="47" t="n">
        <v>30</v>
      </c>
      <c r="C12" s="47" t="n">
        <v>39</v>
      </c>
      <c r="D12" s="47" t="n">
        <v>10</v>
      </c>
      <c r="E12" s="47" t="n">
        <v>5</v>
      </c>
      <c r="F12" s="47" t="n">
        <v>5</v>
      </c>
      <c r="G12" s="47" t="n">
        <v>7</v>
      </c>
      <c r="H12" s="47" t="n">
        <v>8</v>
      </c>
      <c r="I12" s="47" t="n">
        <v>0</v>
      </c>
      <c r="J12" s="47" t="n">
        <v>10</v>
      </c>
      <c r="K12" s="32" t="n">
        <v>114</v>
      </c>
      <c r="L12" s="47" t="n">
        <v>60</v>
      </c>
      <c r="M12" s="33" t="n">
        <v>87</v>
      </c>
    </row>
    <row r="13" customFormat="false" ht="15" hidden="false" customHeight="false" outlineLevel="0" collapsed="false">
      <c r="A13" s="47" t="s">
        <v>199</v>
      </c>
      <c r="B13" s="47" t="n">
        <v>28</v>
      </c>
      <c r="C13" s="47" t="n">
        <v>30</v>
      </c>
      <c r="D13" s="47" t="n">
        <v>10</v>
      </c>
      <c r="E13" s="47" t="n">
        <v>5</v>
      </c>
      <c r="F13" s="47" t="n">
        <v>0</v>
      </c>
      <c r="G13" s="47" t="n">
        <v>7</v>
      </c>
      <c r="H13" s="47" t="n">
        <v>4</v>
      </c>
      <c r="I13" s="47" t="n">
        <v>7</v>
      </c>
      <c r="J13" s="47" t="n">
        <v>5</v>
      </c>
      <c r="K13" s="32" t="n">
        <v>96</v>
      </c>
      <c r="L13" s="47" t="n">
        <v>55</v>
      </c>
      <c r="M13" s="33" t="n">
        <v>75.5</v>
      </c>
    </row>
    <row r="14" customFormat="false" ht="15" hidden="false" customHeight="false" outlineLevel="0" collapsed="false">
      <c r="A14" s="47" t="s">
        <v>200</v>
      </c>
      <c r="B14" s="47" t="n">
        <v>39</v>
      </c>
      <c r="C14" s="47" t="n">
        <v>26</v>
      </c>
      <c r="D14" s="47" t="n">
        <v>0</v>
      </c>
      <c r="E14" s="47" t="n">
        <v>5</v>
      </c>
      <c r="F14" s="47" t="n">
        <v>0</v>
      </c>
      <c r="G14" s="47" t="n">
        <v>2</v>
      </c>
      <c r="H14" s="47" t="n">
        <v>2</v>
      </c>
      <c r="I14" s="47" t="n">
        <v>5</v>
      </c>
      <c r="J14" s="47" t="n">
        <v>0</v>
      </c>
      <c r="K14" s="32" t="n">
        <v>79</v>
      </c>
      <c r="L14" s="47" t="n">
        <v>40</v>
      </c>
      <c r="M14" s="33" t="n">
        <v>59.5</v>
      </c>
    </row>
    <row r="15" customFormat="false" ht="15" hidden="false" customHeight="false" outlineLevel="0" collapsed="false">
      <c r="A15" s="58" t="s">
        <v>260</v>
      </c>
      <c r="B15" s="59" t="n">
        <v>33</v>
      </c>
      <c r="C15" s="59" t="n">
        <v>30.2</v>
      </c>
      <c r="D15" s="59" t="n">
        <v>7</v>
      </c>
      <c r="E15" s="59" t="n">
        <v>3</v>
      </c>
      <c r="F15" s="59" t="n">
        <v>3</v>
      </c>
      <c r="G15" s="59" t="n">
        <v>5.8</v>
      </c>
      <c r="H15" s="59" t="n">
        <v>4.8</v>
      </c>
      <c r="I15" s="59" t="n">
        <v>4.4</v>
      </c>
      <c r="J15" s="59" t="n">
        <v>3</v>
      </c>
    </row>
    <row r="16" customFormat="false" ht="15" hidden="false" customHeight="false" outlineLevel="0" collapsed="false">
      <c r="A16" s="60" t="s">
        <v>261</v>
      </c>
      <c r="B16" s="62" t="s">
        <v>286</v>
      </c>
      <c r="C16" s="59" t="s">
        <v>287</v>
      </c>
      <c r="D16" s="59" t="s">
        <v>288</v>
      </c>
      <c r="E16" s="59" t="s">
        <v>266</v>
      </c>
      <c r="F16" s="61" t="s">
        <v>264</v>
      </c>
      <c r="G16" s="62" t="s">
        <v>289</v>
      </c>
      <c r="H16" s="59" t="s">
        <v>266</v>
      </c>
      <c r="I16" s="61" t="s">
        <v>290</v>
      </c>
      <c r="J16" s="61" t="s">
        <v>264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291</v>
      </c>
    </row>
    <row r="20" customFormat="false" ht="15" hidden="false" customHeight="false" outlineLevel="0" collapsed="false">
      <c r="A20" s="64" t="s">
        <v>274</v>
      </c>
      <c r="B20" s="54" t="s">
        <v>292</v>
      </c>
    </row>
    <row r="21" customFormat="false" ht="39.75" hidden="false" customHeight="true" outlineLevel="0" collapsed="false">
      <c r="A21" s="65" t="s">
        <v>293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82</v>
      </c>
      <c r="B25" s="68" t="n">
        <v>76</v>
      </c>
      <c r="C25" s="68" t="n">
        <v>70</v>
      </c>
      <c r="D25" s="68" t="n">
        <v>60</v>
      </c>
      <c r="E25" s="68" t="n">
        <v>30</v>
      </c>
      <c r="F25" s="68" t="n">
        <v>83</v>
      </c>
      <c r="G25" s="68" t="n">
        <v>60</v>
      </c>
      <c r="H25" s="68" t="n">
        <v>44</v>
      </c>
      <c r="I25" s="68" t="n">
        <v>30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79</v>
      </c>
      <c r="B43" s="0" t="n">
        <v>64.5</v>
      </c>
      <c r="C43" s="0" t="n">
        <v>87</v>
      </c>
      <c r="D43" s="0" t="n">
        <v>75.5</v>
      </c>
      <c r="E43" s="0" t="n">
        <v>59.5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294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295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75</v>
      </c>
      <c r="B6" s="57"/>
      <c r="C6" s="57" t="n">
        <v>51</v>
      </c>
      <c r="D6" s="57"/>
      <c r="E6" s="57" t="n">
        <v>38</v>
      </c>
      <c r="F6" s="57"/>
      <c r="G6" s="57" t="n">
        <v>45</v>
      </c>
      <c r="H6" s="57"/>
      <c r="I6" s="57" t="n">
        <v>79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35</v>
      </c>
      <c r="C10" s="47" t="n">
        <v>33</v>
      </c>
      <c r="D10" s="47" t="n">
        <v>10</v>
      </c>
      <c r="E10" s="47" t="n">
        <v>5</v>
      </c>
      <c r="F10" s="47" t="n">
        <v>0</v>
      </c>
      <c r="G10" s="47" t="n">
        <v>7</v>
      </c>
      <c r="H10" s="47" t="n">
        <v>8</v>
      </c>
      <c r="I10" s="47" t="n">
        <v>5</v>
      </c>
      <c r="J10" s="47" t="n">
        <v>10</v>
      </c>
      <c r="K10" s="32" t="n">
        <v>113</v>
      </c>
      <c r="L10" s="47" t="n">
        <v>60</v>
      </c>
      <c r="M10" s="33" t="n">
        <v>86.5</v>
      </c>
    </row>
    <row r="11" customFormat="false" ht="15" hidden="false" customHeight="false" outlineLevel="0" collapsed="false">
      <c r="A11" s="47" t="s">
        <v>197</v>
      </c>
      <c r="B11" s="47" t="n">
        <v>40</v>
      </c>
      <c r="C11" s="47" t="n">
        <v>34</v>
      </c>
      <c r="D11" s="47" t="n">
        <v>5</v>
      </c>
      <c r="E11" s="47" t="n">
        <v>5</v>
      </c>
      <c r="F11" s="47" t="n">
        <v>5</v>
      </c>
      <c r="G11" s="47" t="n">
        <v>5</v>
      </c>
      <c r="H11" s="47" t="n">
        <v>6</v>
      </c>
      <c r="I11" s="47" t="n">
        <v>0</v>
      </c>
      <c r="J11" s="47" t="n">
        <v>5</v>
      </c>
      <c r="K11" s="32" t="n">
        <v>105</v>
      </c>
      <c r="L11" s="47" t="n">
        <v>50</v>
      </c>
      <c r="M11" s="33" t="n">
        <v>77.5</v>
      </c>
    </row>
    <row r="12" customFormat="false" ht="15" hidden="false" customHeight="false" outlineLevel="0" collapsed="false">
      <c r="A12" s="47" t="s">
        <v>198</v>
      </c>
      <c r="B12" s="47" t="n">
        <v>31</v>
      </c>
      <c r="C12" s="47" t="n">
        <v>26</v>
      </c>
      <c r="D12" s="47" t="n">
        <v>5</v>
      </c>
      <c r="E12" s="47" t="n">
        <v>2.5</v>
      </c>
      <c r="F12" s="47" t="n">
        <v>5</v>
      </c>
      <c r="G12" s="47" t="n">
        <v>7</v>
      </c>
      <c r="H12" s="47" t="n">
        <v>4</v>
      </c>
      <c r="I12" s="47" t="n">
        <v>5</v>
      </c>
      <c r="J12" s="47" t="n">
        <v>7</v>
      </c>
      <c r="K12" s="32" t="n">
        <v>92.5</v>
      </c>
      <c r="L12" s="47" t="n">
        <v>60</v>
      </c>
      <c r="M12" s="33" t="n">
        <v>76.2</v>
      </c>
    </row>
    <row r="13" customFormat="false" ht="15" hidden="false" customHeight="false" outlineLevel="0" collapsed="false">
      <c r="A13" s="47" t="s">
        <v>199</v>
      </c>
      <c r="B13" s="47" t="n">
        <v>40</v>
      </c>
      <c r="C13" s="47" t="n">
        <v>31</v>
      </c>
      <c r="D13" s="47" t="n">
        <v>5</v>
      </c>
      <c r="E13" s="47" t="n">
        <v>5</v>
      </c>
      <c r="F13" s="47" t="n">
        <v>0</v>
      </c>
      <c r="G13" s="47" t="n">
        <v>4</v>
      </c>
      <c r="H13" s="47" t="n">
        <v>4</v>
      </c>
      <c r="I13" s="47" t="n">
        <v>0</v>
      </c>
      <c r="J13" s="47" t="n">
        <v>5</v>
      </c>
      <c r="K13" s="32" t="n">
        <v>94</v>
      </c>
      <c r="L13" s="47" t="n">
        <v>35</v>
      </c>
      <c r="M13" s="33" t="n">
        <v>64.5</v>
      </c>
    </row>
    <row r="14" customFormat="false" ht="15" hidden="false" customHeight="false" outlineLevel="0" collapsed="false">
      <c r="A14" s="47" t="s">
        <v>200</v>
      </c>
      <c r="B14" s="47" t="n">
        <v>40</v>
      </c>
      <c r="C14" s="47" t="n">
        <v>26</v>
      </c>
      <c r="D14" s="47" t="n">
        <v>10</v>
      </c>
      <c r="E14" s="47" t="n">
        <v>5</v>
      </c>
      <c r="F14" s="47" t="n">
        <v>0</v>
      </c>
      <c r="G14" s="47" t="n">
        <v>7</v>
      </c>
      <c r="H14" s="47" t="n">
        <v>2</v>
      </c>
      <c r="I14" s="47" t="n">
        <v>0</v>
      </c>
      <c r="J14" s="47" t="n">
        <v>0</v>
      </c>
      <c r="K14" s="32" t="n">
        <v>90</v>
      </c>
      <c r="L14" s="47" t="n">
        <v>50</v>
      </c>
      <c r="M14" s="33" t="n">
        <v>70</v>
      </c>
    </row>
    <row r="15" customFormat="false" ht="15" hidden="false" customHeight="false" outlineLevel="0" collapsed="false">
      <c r="A15" s="58" t="s">
        <v>260</v>
      </c>
      <c r="B15" s="59" t="n">
        <v>37.2</v>
      </c>
      <c r="C15" s="59" t="n">
        <v>30</v>
      </c>
      <c r="D15" s="59" t="n">
        <v>7</v>
      </c>
      <c r="E15" s="59" t="n">
        <v>4.5</v>
      </c>
      <c r="F15" s="59" t="n">
        <v>2</v>
      </c>
      <c r="G15" s="59" t="n">
        <v>6</v>
      </c>
      <c r="H15" s="59" t="n">
        <v>4.8</v>
      </c>
      <c r="I15" s="59" t="n">
        <v>2</v>
      </c>
      <c r="J15" s="59" t="n">
        <v>5.4</v>
      </c>
    </row>
    <row r="16" customFormat="false" ht="15" hidden="false" customHeight="false" outlineLevel="0" collapsed="false">
      <c r="A16" s="60" t="s">
        <v>261</v>
      </c>
      <c r="B16" s="62" t="s">
        <v>296</v>
      </c>
      <c r="C16" s="59" t="s">
        <v>297</v>
      </c>
      <c r="D16" s="59" t="s">
        <v>288</v>
      </c>
      <c r="E16" s="62" t="s">
        <v>298</v>
      </c>
      <c r="F16" s="61" t="s">
        <v>269</v>
      </c>
      <c r="G16" s="62" t="s">
        <v>299</v>
      </c>
      <c r="H16" s="59" t="s">
        <v>266</v>
      </c>
      <c r="I16" s="61" t="s">
        <v>269</v>
      </c>
      <c r="J16" s="61" t="s">
        <v>300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301</v>
      </c>
    </row>
    <row r="20" customFormat="false" ht="15" hidden="false" customHeight="false" outlineLevel="0" collapsed="false">
      <c r="A20" s="64" t="s">
        <v>274</v>
      </c>
      <c r="B20" s="54" t="s">
        <v>302</v>
      </c>
    </row>
    <row r="21" customFormat="false" ht="39.75" hidden="false" customHeight="true" outlineLevel="0" collapsed="false">
      <c r="A21" s="65" t="s">
        <v>303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93</v>
      </c>
      <c r="B25" s="68" t="n">
        <v>75</v>
      </c>
      <c r="C25" s="68" t="n">
        <v>70</v>
      </c>
      <c r="D25" s="68" t="n">
        <v>90</v>
      </c>
      <c r="E25" s="68" t="n">
        <v>20</v>
      </c>
      <c r="F25" s="68" t="n">
        <v>86</v>
      </c>
      <c r="G25" s="68" t="n">
        <v>60</v>
      </c>
      <c r="H25" s="68" t="n">
        <v>20</v>
      </c>
      <c r="I25" s="68" t="n">
        <v>54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86.5</v>
      </c>
      <c r="B43" s="0" t="n">
        <v>77.5</v>
      </c>
      <c r="C43" s="0" t="n">
        <v>76.2</v>
      </c>
      <c r="D43" s="0" t="n">
        <v>64.5</v>
      </c>
      <c r="E43" s="0" t="n">
        <v>70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304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305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77</v>
      </c>
      <c r="B6" s="57"/>
      <c r="C6" s="57" t="n">
        <v>59</v>
      </c>
      <c r="D6" s="57"/>
      <c r="E6" s="57" t="n">
        <v>34</v>
      </c>
      <c r="F6" s="57"/>
      <c r="G6" s="57" t="n">
        <v>44</v>
      </c>
      <c r="H6" s="57"/>
      <c r="I6" s="57" t="n">
        <v>77.5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22</v>
      </c>
      <c r="C10" s="47" t="n">
        <v>35</v>
      </c>
      <c r="D10" s="47" t="n">
        <v>5</v>
      </c>
      <c r="E10" s="47" t="n">
        <v>0</v>
      </c>
      <c r="F10" s="47" t="n">
        <v>10</v>
      </c>
      <c r="G10" s="47" t="n">
        <v>5</v>
      </c>
      <c r="H10" s="47" t="n">
        <v>8</v>
      </c>
      <c r="I10" s="47" t="n">
        <v>0</v>
      </c>
      <c r="J10" s="47" t="n">
        <v>10</v>
      </c>
      <c r="K10" s="32" t="n">
        <v>95</v>
      </c>
      <c r="L10" s="47" t="n">
        <v>60</v>
      </c>
      <c r="M10" s="33" t="n">
        <v>77.5</v>
      </c>
    </row>
    <row r="11" customFormat="false" ht="15" hidden="false" customHeight="false" outlineLevel="0" collapsed="false">
      <c r="A11" s="47" t="s">
        <v>197</v>
      </c>
      <c r="B11" s="47" t="n">
        <v>37</v>
      </c>
      <c r="C11" s="47" t="n">
        <v>33</v>
      </c>
      <c r="D11" s="47" t="n">
        <v>10</v>
      </c>
      <c r="E11" s="47" t="n">
        <v>0</v>
      </c>
      <c r="F11" s="47" t="n">
        <v>5</v>
      </c>
      <c r="G11" s="47" t="n">
        <v>6</v>
      </c>
      <c r="H11" s="47" t="n">
        <v>8</v>
      </c>
      <c r="I11" s="47" t="n">
        <v>10</v>
      </c>
      <c r="J11" s="47" t="n">
        <v>10</v>
      </c>
      <c r="K11" s="32" t="n">
        <v>119</v>
      </c>
      <c r="L11" s="47" t="n">
        <v>55</v>
      </c>
      <c r="M11" s="33" t="n">
        <v>87</v>
      </c>
    </row>
    <row r="12" customFormat="false" ht="15" hidden="false" customHeight="false" outlineLevel="0" collapsed="false">
      <c r="A12" s="47" t="s">
        <v>198</v>
      </c>
      <c r="B12" s="47" t="n">
        <v>40</v>
      </c>
      <c r="C12" s="47" t="n">
        <v>20</v>
      </c>
      <c r="D12" s="47" t="n">
        <v>10</v>
      </c>
      <c r="E12" s="47" t="n">
        <v>5</v>
      </c>
      <c r="F12" s="47" t="n">
        <v>5</v>
      </c>
      <c r="G12" s="47" t="n">
        <v>4</v>
      </c>
      <c r="H12" s="47" t="n">
        <v>8</v>
      </c>
      <c r="I12" s="47" t="n">
        <v>5</v>
      </c>
      <c r="J12" s="47" t="n">
        <v>5</v>
      </c>
      <c r="K12" s="32" t="n">
        <v>102</v>
      </c>
      <c r="L12" s="47" t="n">
        <v>60</v>
      </c>
      <c r="M12" s="33" t="n">
        <v>81</v>
      </c>
    </row>
    <row r="13" customFormat="false" ht="15" hidden="false" customHeight="false" outlineLevel="0" collapsed="false">
      <c r="A13" s="47" t="s">
        <v>199</v>
      </c>
      <c r="B13" s="47" t="n">
        <v>28</v>
      </c>
      <c r="C13" s="47" t="n">
        <v>16</v>
      </c>
      <c r="D13" s="47" t="n">
        <v>0</v>
      </c>
      <c r="E13" s="47" t="n">
        <v>5</v>
      </c>
      <c r="F13" s="47" t="n">
        <v>0</v>
      </c>
      <c r="G13" s="47" t="n">
        <v>5</v>
      </c>
      <c r="H13" s="47" t="n">
        <v>6</v>
      </c>
      <c r="I13" s="47" t="n">
        <v>5</v>
      </c>
      <c r="J13" s="47" t="n">
        <v>10</v>
      </c>
      <c r="K13" s="32" t="n">
        <v>75</v>
      </c>
      <c r="L13" s="47" t="n">
        <v>60</v>
      </c>
      <c r="M13" s="33" t="n">
        <v>67.5</v>
      </c>
    </row>
    <row r="14" customFormat="false" ht="15" hidden="false" customHeight="false" outlineLevel="0" collapsed="false">
      <c r="A14" s="47" t="s">
        <v>200</v>
      </c>
      <c r="B14" s="47" t="n">
        <v>38</v>
      </c>
      <c r="C14" s="47" t="n">
        <v>21</v>
      </c>
      <c r="D14" s="47" t="n">
        <v>5</v>
      </c>
      <c r="E14" s="47" t="n">
        <v>5</v>
      </c>
      <c r="F14" s="47" t="n">
        <v>0</v>
      </c>
      <c r="G14" s="47" t="n">
        <v>2</v>
      </c>
      <c r="H14" s="47" t="n">
        <v>6</v>
      </c>
      <c r="I14" s="47" t="n">
        <v>0</v>
      </c>
      <c r="J14" s="47" t="n">
        <v>5</v>
      </c>
      <c r="K14" s="32" t="n">
        <v>82</v>
      </c>
      <c r="L14" s="47" t="n">
        <v>60</v>
      </c>
      <c r="M14" s="33" t="n">
        <v>71</v>
      </c>
    </row>
    <row r="15" customFormat="false" ht="15" hidden="false" customHeight="false" outlineLevel="0" collapsed="false">
      <c r="A15" s="58" t="s">
        <v>260</v>
      </c>
      <c r="B15" s="59" t="n">
        <v>33</v>
      </c>
      <c r="C15" s="59" t="n">
        <v>25</v>
      </c>
      <c r="D15" s="59" t="n">
        <v>6</v>
      </c>
      <c r="E15" s="59" t="n">
        <v>3</v>
      </c>
      <c r="F15" s="59" t="n">
        <v>4</v>
      </c>
      <c r="G15" s="59" t="n">
        <v>4.4</v>
      </c>
      <c r="H15" s="59" t="n">
        <v>7.2</v>
      </c>
      <c r="I15" s="59" t="n">
        <v>4</v>
      </c>
      <c r="J15" s="59" t="n">
        <v>8</v>
      </c>
    </row>
    <row r="16" customFormat="false" ht="15" hidden="false" customHeight="false" outlineLevel="0" collapsed="false">
      <c r="A16" s="60" t="s">
        <v>261</v>
      </c>
      <c r="B16" s="62" t="s">
        <v>286</v>
      </c>
      <c r="C16" s="59" t="s">
        <v>306</v>
      </c>
      <c r="D16" s="59" t="s">
        <v>266</v>
      </c>
      <c r="E16" s="59" t="s">
        <v>266</v>
      </c>
      <c r="F16" s="61" t="s">
        <v>307</v>
      </c>
      <c r="G16" s="59" t="s">
        <v>308</v>
      </c>
      <c r="H16" s="62" t="s">
        <v>298</v>
      </c>
      <c r="I16" s="61" t="s">
        <v>307</v>
      </c>
      <c r="J16" s="62" t="s">
        <v>265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309</v>
      </c>
    </row>
    <row r="20" customFormat="false" ht="15" hidden="false" customHeight="false" outlineLevel="0" collapsed="false">
      <c r="A20" s="64" t="s">
        <v>274</v>
      </c>
      <c r="B20" s="54" t="s">
        <v>310</v>
      </c>
    </row>
    <row r="21" customFormat="false" ht="39.75" hidden="false" customHeight="true" outlineLevel="0" collapsed="false">
      <c r="A21" s="65" t="s">
        <v>311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82</v>
      </c>
      <c r="B25" s="68" t="n">
        <v>62</v>
      </c>
      <c r="C25" s="68" t="n">
        <v>60</v>
      </c>
      <c r="D25" s="68" t="n">
        <v>60</v>
      </c>
      <c r="E25" s="68" t="n">
        <v>40</v>
      </c>
      <c r="F25" s="68" t="n">
        <v>63</v>
      </c>
      <c r="G25" s="68" t="n">
        <v>90</v>
      </c>
      <c r="H25" s="68" t="n">
        <v>40</v>
      </c>
      <c r="I25" s="68" t="n">
        <v>80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77.5</v>
      </c>
      <c r="B43" s="0" t="n">
        <v>87</v>
      </c>
      <c r="C43" s="0" t="n">
        <v>81</v>
      </c>
      <c r="D43" s="0" t="n">
        <v>67.5</v>
      </c>
      <c r="E43" s="0" t="n">
        <v>71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312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313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60</v>
      </c>
      <c r="B6" s="57"/>
      <c r="C6" s="57" t="n">
        <v>55</v>
      </c>
      <c r="D6" s="57"/>
      <c r="E6" s="57" t="n">
        <v>29.25</v>
      </c>
      <c r="F6" s="57"/>
      <c r="G6" s="57" t="n">
        <v>38</v>
      </c>
      <c r="H6" s="57"/>
      <c r="I6" s="57" t="n">
        <v>63.5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23</v>
      </c>
      <c r="C10" s="47" t="n">
        <v>29</v>
      </c>
      <c r="D10" s="47" t="n">
        <v>5</v>
      </c>
      <c r="E10" s="47" t="n">
        <v>0</v>
      </c>
      <c r="F10" s="47" t="n">
        <v>0</v>
      </c>
      <c r="G10" s="47" t="n">
        <v>0</v>
      </c>
      <c r="H10" s="47" t="n">
        <v>8</v>
      </c>
      <c r="I10" s="47" t="n">
        <v>5</v>
      </c>
      <c r="J10" s="47" t="n">
        <v>10</v>
      </c>
      <c r="K10" s="32" t="n">
        <v>80</v>
      </c>
      <c r="L10" s="47" t="n">
        <v>45</v>
      </c>
      <c r="M10" s="33" t="n">
        <v>62.5</v>
      </c>
    </row>
    <row r="11" customFormat="false" ht="15" hidden="false" customHeight="false" outlineLevel="0" collapsed="false">
      <c r="A11" s="47" t="s">
        <v>197</v>
      </c>
      <c r="B11" s="47" t="n">
        <v>10</v>
      </c>
      <c r="C11" s="47" t="n">
        <v>33</v>
      </c>
      <c r="D11" s="47" t="n">
        <v>0</v>
      </c>
      <c r="E11" s="47" t="n">
        <v>0</v>
      </c>
      <c r="F11" s="47" t="n">
        <v>5</v>
      </c>
      <c r="G11" s="47" t="n">
        <v>0</v>
      </c>
      <c r="H11" s="47" t="n">
        <v>6</v>
      </c>
      <c r="I11" s="47" t="n">
        <v>0</v>
      </c>
      <c r="J11" s="47" t="n">
        <v>5</v>
      </c>
      <c r="K11" s="32" t="n">
        <v>59</v>
      </c>
      <c r="L11" s="47" t="n">
        <v>50</v>
      </c>
      <c r="M11" s="33" t="n">
        <v>54.5</v>
      </c>
    </row>
    <row r="12" customFormat="false" ht="15" hidden="false" customHeight="false" outlineLevel="0" collapsed="false">
      <c r="A12" s="47" t="s">
        <v>198</v>
      </c>
      <c r="B12" s="47" t="n">
        <v>0</v>
      </c>
      <c r="C12" s="47" t="n">
        <v>0</v>
      </c>
      <c r="D12" s="47" t="n">
        <v>0</v>
      </c>
      <c r="E12" s="47" t="n">
        <v>5</v>
      </c>
      <c r="F12" s="47" t="n">
        <v>5</v>
      </c>
      <c r="G12" s="47" t="n">
        <v>2</v>
      </c>
      <c r="H12" s="47" t="n">
        <v>6</v>
      </c>
      <c r="I12" s="47" t="n">
        <v>0</v>
      </c>
      <c r="J12" s="47" t="n">
        <v>5</v>
      </c>
      <c r="K12" s="32" t="n">
        <v>23</v>
      </c>
      <c r="L12" s="47" t="n">
        <v>60</v>
      </c>
      <c r="M12" s="33" t="n">
        <v>41.5</v>
      </c>
    </row>
    <row r="13" customFormat="false" ht="15" hidden="false" customHeight="false" outlineLevel="0" collapsed="false">
      <c r="A13" s="47" t="s">
        <v>199</v>
      </c>
      <c r="B13" s="47" t="n">
        <v>22</v>
      </c>
      <c r="C13" s="47" t="n">
        <v>29</v>
      </c>
      <c r="D13" s="47" t="n">
        <v>5</v>
      </c>
      <c r="E13" s="47" t="n">
        <v>0</v>
      </c>
      <c r="F13" s="47" t="n">
        <v>5</v>
      </c>
      <c r="G13" s="47" t="n">
        <v>3</v>
      </c>
      <c r="H13" s="47" t="n">
        <v>6</v>
      </c>
      <c r="I13" s="47" t="n">
        <v>10</v>
      </c>
      <c r="J13" s="47" t="n">
        <v>5</v>
      </c>
      <c r="K13" s="32" t="n">
        <v>85</v>
      </c>
      <c r="L13" s="47" t="n">
        <v>60</v>
      </c>
      <c r="M13" s="33" t="n">
        <v>72.5</v>
      </c>
    </row>
    <row r="14" customFormat="false" ht="15" hidden="false" customHeight="false" outlineLevel="0" collapsed="false">
      <c r="A14" s="47" t="s">
        <v>200</v>
      </c>
      <c r="B14" s="47" t="n">
        <v>25</v>
      </c>
      <c r="C14" s="47" t="n">
        <v>26</v>
      </c>
      <c r="D14" s="47" t="n">
        <v>5</v>
      </c>
      <c r="E14" s="47" t="n">
        <v>0</v>
      </c>
      <c r="F14" s="47" t="n">
        <v>0</v>
      </c>
      <c r="G14" s="47" t="n">
        <v>5</v>
      </c>
      <c r="H14" s="47" t="n">
        <v>2</v>
      </c>
      <c r="I14" s="47" t="n">
        <v>0</v>
      </c>
      <c r="J14" s="47" t="n">
        <v>10</v>
      </c>
      <c r="K14" s="32" t="n">
        <v>73</v>
      </c>
      <c r="L14" s="47" t="n">
        <v>60</v>
      </c>
      <c r="M14" s="33" t="n">
        <v>66.5</v>
      </c>
    </row>
    <row r="15" customFormat="false" ht="15" hidden="false" customHeight="false" outlineLevel="0" collapsed="false">
      <c r="A15" s="58" t="s">
        <v>260</v>
      </c>
      <c r="B15" s="59" t="n">
        <v>16</v>
      </c>
      <c r="C15" s="59" t="n">
        <v>23.4</v>
      </c>
      <c r="D15" s="59" t="n">
        <v>3</v>
      </c>
      <c r="E15" s="59" t="n">
        <v>1</v>
      </c>
      <c r="F15" s="59" t="n">
        <v>3</v>
      </c>
      <c r="G15" s="59" t="n">
        <v>2</v>
      </c>
      <c r="H15" s="59" t="n">
        <v>5.6</v>
      </c>
      <c r="I15" s="59" t="n">
        <v>3</v>
      </c>
      <c r="J15" s="59" t="n">
        <v>7</v>
      </c>
    </row>
    <row r="16" customFormat="false" ht="15" hidden="false" customHeight="false" outlineLevel="0" collapsed="false">
      <c r="A16" s="60" t="s">
        <v>261</v>
      </c>
      <c r="B16" s="61" t="s">
        <v>307</v>
      </c>
      <c r="C16" s="61" t="s">
        <v>314</v>
      </c>
      <c r="D16" s="61" t="s">
        <v>264</v>
      </c>
      <c r="E16" s="61" t="s">
        <v>269</v>
      </c>
      <c r="F16" s="61" t="s">
        <v>264</v>
      </c>
      <c r="G16" s="61" t="s">
        <v>315</v>
      </c>
      <c r="H16" s="59" t="s">
        <v>288</v>
      </c>
      <c r="I16" s="61" t="s">
        <v>264</v>
      </c>
      <c r="J16" s="59" t="s">
        <v>288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316</v>
      </c>
    </row>
    <row r="20" customFormat="false" ht="15" hidden="false" customHeight="false" outlineLevel="0" collapsed="false">
      <c r="A20" s="64" t="s">
        <v>274</v>
      </c>
      <c r="B20" s="54" t="s">
        <v>317</v>
      </c>
    </row>
    <row r="21" customFormat="false" ht="39.75" hidden="false" customHeight="true" outlineLevel="0" collapsed="false">
      <c r="A21" s="65" t="s">
        <v>318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40</v>
      </c>
      <c r="B25" s="68" t="n">
        <v>58</v>
      </c>
      <c r="C25" s="68" t="n">
        <v>30</v>
      </c>
      <c r="D25" s="68" t="n">
        <v>20</v>
      </c>
      <c r="E25" s="68" t="n">
        <v>30</v>
      </c>
      <c r="F25" s="68" t="n">
        <v>29</v>
      </c>
      <c r="G25" s="68" t="n">
        <v>70</v>
      </c>
      <c r="H25" s="68" t="n">
        <v>30</v>
      </c>
      <c r="I25" s="68" t="n">
        <v>70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62.5</v>
      </c>
      <c r="B43" s="0" t="n">
        <v>54.5</v>
      </c>
      <c r="C43" s="0" t="n">
        <v>41.5</v>
      </c>
      <c r="D43" s="0" t="n">
        <v>72.5</v>
      </c>
      <c r="E43" s="0" t="n">
        <v>66.5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319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320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67</v>
      </c>
      <c r="B6" s="57"/>
      <c r="C6" s="57" t="n">
        <v>43</v>
      </c>
      <c r="D6" s="57"/>
      <c r="E6" s="57" t="n">
        <v>27.75</v>
      </c>
      <c r="F6" s="57"/>
      <c r="G6" s="57" t="n">
        <v>43</v>
      </c>
      <c r="H6" s="57"/>
      <c r="I6" s="57" t="n">
        <v>69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20</v>
      </c>
      <c r="C10" s="47" t="n">
        <v>20</v>
      </c>
      <c r="D10" s="47" t="n">
        <v>2.5</v>
      </c>
      <c r="E10" s="47" t="n">
        <v>5</v>
      </c>
      <c r="F10" s="47" t="n">
        <v>5</v>
      </c>
      <c r="G10" s="47" t="n">
        <v>3.5</v>
      </c>
      <c r="H10" s="47" t="n">
        <v>4</v>
      </c>
      <c r="I10" s="47" t="n">
        <v>5</v>
      </c>
      <c r="J10" s="47" t="n">
        <v>5</v>
      </c>
      <c r="K10" s="32" t="n">
        <v>70</v>
      </c>
      <c r="L10" s="47" t="n">
        <v>30</v>
      </c>
      <c r="M10" s="33" t="n">
        <v>50</v>
      </c>
    </row>
    <row r="11" customFormat="false" ht="15" hidden="false" customHeight="false" outlineLevel="0" collapsed="false">
      <c r="A11" s="47" t="s">
        <v>197</v>
      </c>
      <c r="B11" s="47" t="n">
        <v>28</v>
      </c>
      <c r="C11" s="47" t="n">
        <v>34</v>
      </c>
      <c r="D11" s="47" t="n">
        <v>10</v>
      </c>
      <c r="E11" s="47" t="n">
        <v>5</v>
      </c>
      <c r="F11" s="47" t="n">
        <v>10</v>
      </c>
      <c r="G11" s="47" t="n">
        <v>4</v>
      </c>
      <c r="H11" s="47" t="n">
        <v>8</v>
      </c>
      <c r="I11" s="47" t="n">
        <v>5</v>
      </c>
      <c r="J11" s="47" t="n">
        <v>5</v>
      </c>
      <c r="K11" s="32" t="n">
        <v>109</v>
      </c>
      <c r="L11" s="47" t="n">
        <v>50</v>
      </c>
      <c r="M11" s="33" t="n">
        <v>79.5</v>
      </c>
    </row>
    <row r="12" customFormat="false" ht="15" hidden="false" customHeight="false" outlineLevel="0" collapsed="false">
      <c r="A12" s="47" t="s">
        <v>198</v>
      </c>
      <c r="B12" s="47" t="n">
        <v>20</v>
      </c>
      <c r="C12" s="47" t="n">
        <v>20</v>
      </c>
      <c r="D12" s="47" t="n">
        <v>5</v>
      </c>
      <c r="E12" s="47" t="n">
        <v>2.5</v>
      </c>
      <c r="F12" s="47" t="n">
        <v>5</v>
      </c>
      <c r="G12" s="47" t="n">
        <v>3.5</v>
      </c>
      <c r="H12" s="47" t="n">
        <v>4</v>
      </c>
      <c r="I12" s="47" t="n">
        <v>5</v>
      </c>
      <c r="J12" s="47" t="n">
        <v>5</v>
      </c>
      <c r="K12" s="32" t="n">
        <v>70</v>
      </c>
      <c r="L12" s="47" t="n">
        <v>30</v>
      </c>
      <c r="M12" s="33" t="n">
        <v>50</v>
      </c>
    </row>
    <row r="13" customFormat="false" ht="15" hidden="false" customHeight="false" outlineLevel="0" collapsed="false">
      <c r="A13" s="47" t="s">
        <v>199</v>
      </c>
      <c r="B13" s="47" t="n">
        <v>35</v>
      </c>
      <c r="C13" s="47" t="n">
        <v>39</v>
      </c>
      <c r="D13" s="47" t="n">
        <v>10</v>
      </c>
      <c r="E13" s="47" t="n">
        <v>0</v>
      </c>
      <c r="F13" s="47" t="n">
        <v>5</v>
      </c>
      <c r="G13" s="47" t="n">
        <v>5</v>
      </c>
      <c r="H13" s="47" t="n">
        <v>8</v>
      </c>
      <c r="I13" s="47" t="n">
        <v>0</v>
      </c>
      <c r="J13" s="47" t="n">
        <v>0</v>
      </c>
      <c r="K13" s="32" t="n">
        <v>102</v>
      </c>
      <c r="L13" s="47" t="n">
        <v>50</v>
      </c>
      <c r="M13" s="33" t="n">
        <v>76</v>
      </c>
    </row>
    <row r="14" customFormat="false" ht="15" hidden="false" customHeight="false" outlineLevel="0" collapsed="false">
      <c r="A14" s="47" t="s">
        <v>200</v>
      </c>
      <c r="B14" s="47" t="n">
        <v>37</v>
      </c>
      <c r="C14" s="47" t="n">
        <v>26</v>
      </c>
      <c r="D14" s="47" t="n">
        <v>10</v>
      </c>
      <c r="E14" s="47" t="n">
        <v>0</v>
      </c>
      <c r="F14" s="47" t="n">
        <v>5</v>
      </c>
      <c r="G14" s="47" t="n">
        <v>7</v>
      </c>
      <c r="H14" s="47" t="n">
        <v>4</v>
      </c>
      <c r="I14" s="47" t="n">
        <v>10</v>
      </c>
      <c r="J14" s="47" t="n">
        <v>5</v>
      </c>
      <c r="K14" s="32" t="n">
        <v>104</v>
      </c>
      <c r="L14" s="47" t="n">
        <v>55</v>
      </c>
      <c r="M14" s="33" t="n">
        <v>79.5</v>
      </c>
    </row>
    <row r="15" customFormat="false" ht="15" hidden="false" customHeight="false" outlineLevel="0" collapsed="false">
      <c r="A15" s="58" t="s">
        <v>260</v>
      </c>
      <c r="B15" s="59" t="n">
        <v>28</v>
      </c>
      <c r="C15" s="59" t="n">
        <v>27.8</v>
      </c>
      <c r="D15" s="59" t="n">
        <v>7.5</v>
      </c>
      <c r="E15" s="59" t="n">
        <v>2.5</v>
      </c>
      <c r="F15" s="59" t="n">
        <v>6</v>
      </c>
      <c r="G15" s="59" t="n">
        <v>4.6</v>
      </c>
      <c r="H15" s="59" t="n">
        <v>5.6</v>
      </c>
      <c r="I15" s="59" t="n">
        <v>5</v>
      </c>
      <c r="J15" s="59" t="n">
        <v>4</v>
      </c>
    </row>
    <row r="16" customFormat="false" ht="15" hidden="false" customHeight="false" outlineLevel="0" collapsed="false">
      <c r="A16" s="60" t="s">
        <v>261</v>
      </c>
      <c r="B16" s="59" t="s">
        <v>288</v>
      </c>
      <c r="C16" s="59" t="s">
        <v>288</v>
      </c>
      <c r="D16" s="59" t="s">
        <v>297</v>
      </c>
      <c r="E16" s="61" t="s">
        <v>270</v>
      </c>
      <c r="F16" s="59" t="s">
        <v>266</v>
      </c>
      <c r="G16" s="59" t="s">
        <v>321</v>
      </c>
      <c r="H16" s="59" t="s">
        <v>288</v>
      </c>
      <c r="I16" s="61" t="s">
        <v>270</v>
      </c>
      <c r="J16" s="61" t="s">
        <v>307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322</v>
      </c>
    </row>
    <row r="20" customFormat="false" ht="15" hidden="false" customHeight="false" outlineLevel="0" collapsed="false">
      <c r="A20" s="64" t="s">
        <v>274</v>
      </c>
      <c r="B20" s="54" t="s">
        <v>323</v>
      </c>
    </row>
    <row r="21" customFormat="false" ht="39.75" hidden="false" customHeight="true" outlineLevel="0" collapsed="false">
      <c r="A21" s="65" t="s">
        <v>324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70</v>
      </c>
      <c r="B25" s="68" t="n">
        <v>70</v>
      </c>
      <c r="C25" s="68" t="n">
        <v>75</v>
      </c>
      <c r="D25" s="68" t="n">
        <v>50</v>
      </c>
      <c r="E25" s="68" t="n">
        <v>60</v>
      </c>
      <c r="F25" s="68" t="n">
        <v>66</v>
      </c>
      <c r="G25" s="68" t="n">
        <v>70</v>
      </c>
      <c r="H25" s="68" t="n">
        <v>50</v>
      </c>
      <c r="I25" s="68" t="n">
        <v>40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50</v>
      </c>
      <c r="B43" s="0" t="n">
        <v>79.5</v>
      </c>
      <c r="C43" s="0" t="n">
        <v>50</v>
      </c>
      <c r="D43" s="0" t="n">
        <v>76</v>
      </c>
      <c r="E43" s="0" t="n">
        <v>79.5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325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326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78</v>
      </c>
      <c r="B6" s="57"/>
      <c r="C6" s="57" t="n">
        <v>60</v>
      </c>
      <c r="D6" s="57"/>
      <c r="E6" s="57" t="n">
        <v>33</v>
      </c>
      <c r="F6" s="57"/>
      <c r="G6" s="57" t="n">
        <v>44</v>
      </c>
      <c r="H6" s="57"/>
      <c r="I6" s="57" t="n">
        <v>77.5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20</v>
      </c>
      <c r="C10" s="47" t="n">
        <v>38</v>
      </c>
      <c r="D10" s="47" t="n">
        <v>5</v>
      </c>
      <c r="E10" s="47" t="n">
        <v>5</v>
      </c>
      <c r="F10" s="47" t="n">
        <v>0</v>
      </c>
      <c r="G10" s="47" t="n">
        <v>6</v>
      </c>
      <c r="H10" s="47" t="n">
        <v>6</v>
      </c>
      <c r="I10" s="47" t="n">
        <v>0</v>
      </c>
      <c r="J10" s="47" t="n">
        <v>10</v>
      </c>
      <c r="K10" s="32" t="n">
        <v>90</v>
      </c>
      <c r="L10" s="47" t="n">
        <v>60</v>
      </c>
      <c r="M10" s="33" t="n">
        <v>75</v>
      </c>
    </row>
    <row r="11" customFormat="false" ht="15" hidden="false" customHeight="false" outlineLevel="0" collapsed="false">
      <c r="A11" s="47" t="s">
        <v>197</v>
      </c>
      <c r="B11" s="47" t="n">
        <v>35</v>
      </c>
      <c r="C11" s="47" t="n">
        <v>35</v>
      </c>
      <c r="D11" s="47" t="n">
        <v>0</v>
      </c>
      <c r="E11" s="47" t="n">
        <v>5</v>
      </c>
      <c r="F11" s="47" t="n">
        <v>0</v>
      </c>
      <c r="G11" s="47" t="n">
        <v>0</v>
      </c>
      <c r="H11" s="47" t="n">
        <v>2</v>
      </c>
      <c r="I11" s="47" t="n">
        <v>5</v>
      </c>
      <c r="J11" s="47" t="n">
        <v>0</v>
      </c>
      <c r="K11" s="32" t="n">
        <v>82</v>
      </c>
      <c r="L11" s="47" t="n">
        <v>60</v>
      </c>
      <c r="M11" s="33" t="n">
        <v>71</v>
      </c>
    </row>
    <row r="12" customFormat="false" ht="15" hidden="false" customHeight="false" outlineLevel="0" collapsed="false">
      <c r="A12" s="47" t="s">
        <v>198</v>
      </c>
      <c r="B12" s="47" t="n">
        <v>22</v>
      </c>
      <c r="C12" s="47" t="n">
        <v>40</v>
      </c>
      <c r="D12" s="47" t="n">
        <v>0</v>
      </c>
      <c r="E12" s="47" t="n">
        <v>0</v>
      </c>
      <c r="F12" s="47" t="n">
        <v>5</v>
      </c>
      <c r="G12" s="47" t="n">
        <v>5</v>
      </c>
      <c r="H12" s="47" t="n">
        <v>8</v>
      </c>
      <c r="I12" s="47" t="n">
        <v>10</v>
      </c>
      <c r="J12" s="47" t="n">
        <v>0</v>
      </c>
      <c r="K12" s="32" t="n">
        <v>90</v>
      </c>
      <c r="L12" s="47" t="n">
        <v>60</v>
      </c>
      <c r="M12" s="33" t="n">
        <v>75</v>
      </c>
    </row>
    <row r="13" customFormat="false" ht="15" hidden="false" customHeight="false" outlineLevel="0" collapsed="false">
      <c r="A13" s="47" t="s">
        <v>199</v>
      </c>
      <c r="B13" s="47" t="n">
        <v>40</v>
      </c>
      <c r="C13" s="47" t="n">
        <v>40</v>
      </c>
      <c r="D13" s="47" t="n">
        <v>10</v>
      </c>
      <c r="E13" s="47" t="n">
        <v>0</v>
      </c>
      <c r="F13" s="47" t="n">
        <v>5</v>
      </c>
      <c r="G13" s="47" t="n">
        <v>4</v>
      </c>
      <c r="H13" s="47" t="n">
        <v>0</v>
      </c>
      <c r="I13" s="47" t="n">
        <v>0</v>
      </c>
      <c r="J13" s="47" t="n">
        <v>5</v>
      </c>
      <c r="K13" s="32" t="n">
        <v>104</v>
      </c>
      <c r="L13" s="47" t="n">
        <v>60</v>
      </c>
      <c r="M13" s="33" t="n">
        <v>82</v>
      </c>
    </row>
    <row r="14" customFormat="false" ht="15" hidden="false" customHeight="false" outlineLevel="0" collapsed="false">
      <c r="A14" s="47" t="s">
        <v>200</v>
      </c>
      <c r="B14" s="47" t="n">
        <v>34</v>
      </c>
      <c r="C14" s="47" t="n">
        <v>40</v>
      </c>
      <c r="D14" s="47" t="n">
        <v>0</v>
      </c>
      <c r="E14" s="47" t="n">
        <v>5</v>
      </c>
      <c r="F14" s="47" t="n">
        <v>5</v>
      </c>
      <c r="G14" s="47" t="n">
        <v>7</v>
      </c>
      <c r="H14" s="47" t="n">
        <v>5</v>
      </c>
      <c r="I14" s="47" t="n">
        <v>5</v>
      </c>
      <c r="J14" s="47" t="n">
        <v>10</v>
      </c>
      <c r="K14" s="32" t="n">
        <v>111</v>
      </c>
      <c r="L14" s="47" t="n">
        <v>60</v>
      </c>
      <c r="M14" s="33" t="n">
        <v>85.5</v>
      </c>
    </row>
    <row r="15" customFormat="false" ht="15" hidden="false" customHeight="false" outlineLevel="0" collapsed="false">
      <c r="A15" s="58" t="s">
        <v>260</v>
      </c>
      <c r="B15" s="59" t="n">
        <v>30.2</v>
      </c>
      <c r="C15" s="59" t="n">
        <v>38.6</v>
      </c>
      <c r="D15" s="59" t="n">
        <v>3</v>
      </c>
      <c r="E15" s="59" t="n">
        <v>3</v>
      </c>
      <c r="F15" s="59" t="n">
        <v>3</v>
      </c>
      <c r="G15" s="59" t="n">
        <v>4.4</v>
      </c>
      <c r="H15" s="59" t="n">
        <v>4.2</v>
      </c>
      <c r="I15" s="59" t="n">
        <v>4</v>
      </c>
      <c r="J15" s="59" t="n">
        <v>5</v>
      </c>
    </row>
    <row r="16" customFormat="false" ht="15" hidden="false" customHeight="false" outlineLevel="0" collapsed="false">
      <c r="A16" s="60" t="s">
        <v>261</v>
      </c>
      <c r="B16" s="59" t="s">
        <v>287</v>
      </c>
      <c r="C16" s="62" t="s">
        <v>327</v>
      </c>
      <c r="D16" s="61" t="s">
        <v>264</v>
      </c>
      <c r="E16" s="59" t="s">
        <v>266</v>
      </c>
      <c r="F16" s="61" t="s">
        <v>264</v>
      </c>
      <c r="G16" s="59" t="s">
        <v>308</v>
      </c>
      <c r="H16" s="61" t="s">
        <v>328</v>
      </c>
      <c r="I16" s="61" t="s">
        <v>307</v>
      </c>
      <c r="J16" s="61" t="s">
        <v>270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329</v>
      </c>
    </row>
    <row r="20" customFormat="false" ht="15" hidden="false" customHeight="false" outlineLevel="0" collapsed="false">
      <c r="A20" s="64" t="s">
        <v>274</v>
      </c>
      <c r="B20" s="54" t="s">
        <v>330</v>
      </c>
    </row>
    <row r="21" customFormat="false" ht="39.75" hidden="false" customHeight="true" outlineLevel="0" collapsed="false">
      <c r="A21" s="65" t="s">
        <v>331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76</v>
      </c>
      <c r="B25" s="68" t="n">
        <v>97</v>
      </c>
      <c r="C25" s="68" t="n">
        <v>30</v>
      </c>
      <c r="D25" s="68" t="n">
        <v>60</v>
      </c>
      <c r="E25" s="68" t="n">
        <v>30</v>
      </c>
      <c r="F25" s="68" t="n">
        <v>63</v>
      </c>
      <c r="G25" s="68" t="n">
        <v>52</v>
      </c>
      <c r="H25" s="68" t="n">
        <v>40</v>
      </c>
      <c r="I25" s="68" t="n">
        <v>50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75</v>
      </c>
      <c r="B43" s="0" t="n">
        <v>71</v>
      </c>
      <c r="C43" s="0" t="n">
        <v>75</v>
      </c>
      <c r="D43" s="0" t="n">
        <v>82</v>
      </c>
      <c r="E43" s="0" t="n">
        <v>85.5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332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313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65</v>
      </c>
      <c r="B6" s="57"/>
      <c r="C6" s="57" t="n">
        <v>48</v>
      </c>
      <c r="D6" s="57"/>
      <c r="E6" s="57" t="n">
        <v>29</v>
      </c>
      <c r="F6" s="57"/>
      <c r="G6" s="57" t="n">
        <v>50</v>
      </c>
      <c r="H6" s="57"/>
      <c r="I6" s="57" t="n">
        <v>72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38</v>
      </c>
      <c r="C10" s="47" t="n">
        <v>35</v>
      </c>
      <c r="D10" s="47" t="n">
        <v>0</v>
      </c>
      <c r="E10" s="47" t="n">
        <v>5</v>
      </c>
      <c r="F10" s="47" t="n">
        <v>0</v>
      </c>
      <c r="G10" s="47" t="n">
        <v>2</v>
      </c>
      <c r="H10" s="47" t="n">
        <v>6</v>
      </c>
      <c r="I10" s="47" t="n">
        <v>5</v>
      </c>
      <c r="J10" s="47" t="n">
        <v>10</v>
      </c>
      <c r="K10" s="32" t="n">
        <v>101</v>
      </c>
      <c r="L10" s="47" t="n">
        <v>55</v>
      </c>
      <c r="M10" s="33" t="n">
        <v>78</v>
      </c>
    </row>
    <row r="11" customFormat="false" ht="15" hidden="false" customHeight="false" outlineLevel="0" collapsed="false">
      <c r="A11" s="47" t="s">
        <v>197</v>
      </c>
      <c r="B11" s="47" t="n">
        <v>20</v>
      </c>
      <c r="C11" s="47" t="n">
        <v>20</v>
      </c>
      <c r="D11" s="47" t="n">
        <v>5</v>
      </c>
      <c r="E11" s="47" t="n">
        <v>2.5</v>
      </c>
      <c r="F11" s="47" t="n">
        <v>5</v>
      </c>
      <c r="G11" s="47" t="n">
        <v>3.5</v>
      </c>
      <c r="H11" s="47" t="n">
        <v>4</v>
      </c>
      <c r="I11" s="47" t="n">
        <v>5</v>
      </c>
      <c r="J11" s="47" t="n">
        <v>5</v>
      </c>
      <c r="K11" s="32" t="n">
        <v>70</v>
      </c>
      <c r="L11" s="47" t="n">
        <v>30</v>
      </c>
      <c r="M11" s="33" t="n">
        <v>50</v>
      </c>
    </row>
    <row r="12" customFormat="false" ht="15" hidden="false" customHeight="false" outlineLevel="0" collapsed="false">
      <c r="A12" s="47" t="s">
        <v>198</v>
      </c>
      <c r="B12" s="47" t="n">
        <v>28</v>
      </c>
      <c r="C12" s="47" t="n">
        <v>26</v>
      </c>
      <c r="D12" s="47" t="n">
        <v>10</v>
      </c>
      <c r="E12" s="47" t="n">
        <v>0</v>
      </c>
      <c r="F12" s="47" t="n">
        <v>0</v>
      </c>
      <c r="G12" s="47" t="n">
        <v>0</v>
      </c>
      <c r="H12" s="47" t="n">
        <v>8</v>
      </c>
      <c r="I12" s="47" t="n">
        <v>10</v>
      </c>
      <c r="J12" s="47" t="n">
        <v>0</v>
      </c>
      <c r="K12" s="32" t="n">
        <v>82</v>
      </c>
      <c r="L12" s="47" t="n">
        <v>60</v>
      </c>
      <c r="M12" s="33" t="n">
        <v>71</v>
      </c>
    </row>
    <row r="13" customFormat="false" ht="15" hidden="false" customHeight="false" outlineLevel="0" collapsed="false">
      <c r="A13" s="47" t="s">
        <v>199</v>
      </c>
      <c r="B13" s="47" t="n">
        <v>38</v>
      </c>
      <c r="C13" s="47" t="n">
        <v>11</v>
      </c>
      <c r="D13" s="47" t="n">
        <v>0</v>
      </c>
      <c r="E13" s="47" t="n">
        <v>0</v>
      </c>
      <c r="F13" s="47" t="n">
        <v>0</v>
      </c>
      <c r="G13" s="47" t="n">
        <v>3</v>
      </c>
      <c r="H13" s="47" t="n">
        <v>8</v>
      </c>
      <c r="I13" s="47" t="n">
        <v>0</v>
      </c>
      <c r="J13" s="47" t="n">
        <v>10</v>
      </c>
      <c r="K13" s="32" t="n">
        <v>70</v>
      </c>
      <c r="L13" s="47" t="n">
        <v>40</v>
      </c>
      <c r="M13" s="33" t="n">
        <v>55</v>
      </c>
    </row>
    <row r="14" customFormat="false" ht="15" hidden="false" customHeight="false" outlineLevel="0" collapsed="false">
      <c r="A14" s="47" t="s">
        <v>200</v>
      </c>
      <c r="B14" s="47" t="n">
        <v>21</v>
      </c>
      <c r="C14" s="47" t="n">
        <v>40</v>
      </c>
      <c r="D14" s="47" t="n">
        <v>5</v>
      </c>
      <c r="E14" s="47" t="n">
        <v>0</v>
      </c>
      <c r="F14" s="47" t="n">
        <v>0</v>
      </c>
      <c r="G14" s="47" t="n">
        <v>3</v>
      </c>
      <c r="H14" s="47" t="n">
        <v>6</v>
      </c>
      <c r="I14" s="47" t="n">
        <v>0</v>
      </c>
      <c r="J14" s="47" t="n">
        <v>10</v>
      </c>
      <c r="K14" s="32" t="n">
        <v>85</v>
      </c>
      <c r="L14" s="47" t="n">
        <v>55</v>
      </c>
      <c r="M14" s="33" t="n">
        <v>70</v>
      </c>
    </row>
    <row r="15" customFormat="false" ht="15" hidden="false" customHeight="false" outlineLevel="0" collapsed="false">
      <c r="A15" s="58" t="s">
        <v>260</v>
      </c>
      <c r="B15" s="59" t="n">
        <v>29</v>
      </c>
      <c r="C15" s="59" t="n">
        <v>26.4</v>
      </c>
      <c r="D15" s="59" t="n">
        <v>4</v>
      </c>
      <c r="E15" s="59" t="n">
        <v>1.5</v>
      </c>
      <c r="F15" s="59" t="n">
        <v>1</v>
      </c>
      <c r="G15" s="59" t="n">
        <v>2.3</v>
      </c>
      <c r="H15" s="59" t="n">
        <v>6.4</v>
      </c>
      <c r="I15" s="59" t="n">
        <v>4</v>
      </c>
      <c r="J15" s="59" t="n">
        <v>7</v>
      </c>
    </row>
    <row r="16" customFormat="false" ht="15" hidden="false" customHeight="false" outlineLevel="0" collapsed="false">
      <c r="A16" s="60" t="s">
        <v>261</v>
      </c>
      <c r="B16" s="59" t="s">
        <v>333</v>
      </c>
      <c r="C16" s="59" t="s">
        <v>321</v>
      </c>
      <c r="D16" s="61" t="s">
        <v>307</v>
      </c>
      <c r="E16" s="61" t="s">
        <v>264</v>
      </c>
      <c r="F16" s="61" t="s">
        <v>334</v>
      </c>
      <c r="G16" s="61" t="s">
        <v>335</v>
      </c>
      <c r="H16" s="62" t="s">
        <v>265</v>
      </c>
      <c r="I16" s="61" t="s">
        <v>307</v>
      </c>
      <c r="J16" s="59" t="s">
        <v>288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336</v>
      </c>
    </row>
    <row r="20" customFormat="false" ht="15" hidden="false" customHeight="false" outlineLevel="0" collapsed="false">
      <c r="A20" s="64" t="s">
        <v>274</v>
      </c>
      <c r="B20" s="54" t="s">
        <v>337</v>
      </c>
    </row>
    <row r="21" customFormat="false" ht="39.75" hidden="false" customHeight="true" outlineLevel="0" collapsed="false">
      <c r="A21" s="65" t="s">
        <v>338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72</v>
      </c>
      <c r="B25" s="68" t="n">
        <v>66</v>
      </c>
      <c r="C25" s="68" t="n">
        <v>40</v>
      </c>
      <c r="D25" s="68" t="n">
        <v>30</v>
      </c>
      <c r="E25" s="68" t="n">
        <v>10</v>
      </c>
      <c r="F25" s="68" t="n">
        <v>33</v>
      </c>
      <c r="G25" s="68" t="n">
        <v>80</v>
      </c>
      <c r="H25" s="68" t="n">
        <v>40</v>
      </c>
      <c r="I25" s="68" t="n">
        <v>70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78</v>
      </c>
      <c r="B43" s="0" t="n">
        <v>50</v>
      </c>
      <c r="C43" s="0" t="n">
        <v>71</v>
      </c>
      <c r="D43" s="0" t="n">
        <v>55</v>
      </c>
      <c r="E43" s="0" t="n">
        <v>70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339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313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67</v>
      </c>
      <c r="B6" s="57"/>
      <c r="C6" s="57" t="n">
        <v>46</v>
      </c>
      <c r="D6" s="57"/>
      <c r="E6" s="57" t="n">
        <v>36.25</v>
      </c>
      <c r="F6" s="57"/>
      <c r="G6" s="57" t="n">
        <v>45</v>
      </c>
      <c r="H6" s="57"/>
      <c r="I6" s="57" t="n">
        <v>74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39</v>
      </c>
      <c r="C10" s="47" t="n">
        <v>21</v>
      </c>
      <c r="D10" s="47" t="n">
        <v>10</v>
      </c>
      <c r="E10" s="47" t="n">
        <v>0</v>
      </c>
      <c r="F10" s="47" t="n">
        <v>0</v>
      </c>
      <c r="G10" s="47" t="n">
        <v>5</v>
      </c>
      <c r="H10" s="47" t="n">
        <v>8</v>
      </c>
      <c r="I10" s="47" t="n">
        <v>5</v>
      </c>
      <c r="J10" s="47" t="n">
        <v>5</v>
      </c>
      <c r="K10" s="32" t="n">
        <v>93</v>
      </c>
      <c r="L10" s="47" t="n">
        <v>60</v>
      </c>
      <c r="M10" s="33" t="n">
        <v>76.5</v>
      </c>
    </row>
    <row r="11" customFormat="false" ht="15" hidden="false" customHeight="false" outlineLevel="0" collapsed="false">
      <c r="A11" s="47" t="s">
        <v>197</v>
      </c>
      <c r="B11" s="47" t="n">
        <v>20</v>
      </c>
      <c r="C11" s="47" t="n">
        <v>20</v>
      </c>
      <c r="D11" s="47" t="n">
        <v>5</v>
      </c>
      <c r="E11" s="47" t="n">
        <v>2.5</v>
      </c>
      <c r="F11" s="47" t="n">
        <v>5</v>
      </c>
      <c r="G11" s="47" t="n">
        <v>3.5</v>
      </c>
      <c r="H11" s="47" t="n">
        <v>4</v>
      </c>
      <c r="I11" s="47" t="n">
        <v>5</v>
      </c>
      <c r="J11" s="47" t="n">
        <v>5</v>
      </c>
      <c r="K11" s="32" t="n">
        <v>70</v>
      </c>
      <c r="L11" s="47" t="n">
        <v>30</v>
      </c>
      <c r="M11" s="33" t="n">
        <v>50</v>
      </c>
    </row>
    <row r="12" customFormat="false" ht="15" hidden="false" customHeight="false" outlineLevel="0" collapsed="false">
      <c r="A12" s="47" t="s">
        <v>198</v>
      </c>
      <c r="B12" s="47" t="n">
        <v>20</v>
      </c>
      <c r="C12" s="47" t="n">
        <v>20</v>
      </c>
      <c r="D12" s="47" t="n">
        <v>5</v>
      </c>
      <c r="E12" s="47" t="n">
        <v>2.5</v>
      </c>
      <c r="F12" s="47" t="n">
        <v>5</v>
      </c>
      <c r="G12" s="47" t="n">
        <v>3.5</v>
      </c>
      <c r="H12" s="47" t="n">
        <v>4</v>
      </c>
      <c r="I12" s="47" t="n">
        <v>5</v>
      </c>
      <c r="J12" s="47" t="n">
        <v>5</v>
      </c>
      <c r="K12" s="32" t="n">
        <v>70</v>
      </c>
      <c r="L12" s="47" t="n">
        <v>30</v>
      </c>
      <c r="M12" s="33" t="n">
        <v>50</v>
      </c>
    </row>
    <row r="13" customFormat="false" ht="15" hidden="false" customHeight="false" outlineLevel="0" collapsed="false">
      <c r="A13" s="47" t="s">
        <v>199</v>
      </c>
      <c r="B13" s="47" t="n">
        <v>31</v>
      </c>
      <c r="C13" s="47" t="n">
        <v>38</v>
      </c>
      <c r="D13" s="47" t="n">
        <v>5</v>
      </c>
      <c r="E13" s="47" t="n">
        <v>5</v>
      </c>
      <c r="F13" s="47" t="n">
        <v>5</v>
      </c>
      <c r="G13" s="47" t="n">
        <v>5</v>
      </c>
      <c r="H13" s="47" t="n">
        <v>2</v>
      </c>
      <c r="I13" s="47" t="n">
        <v>5</v>
      </c>
      <c r="J13" s="47" t="n">
        <v>5</v>
      </c>
      <c r="K13" s="32" t="n">
        <v>101</v>
      </c>
      <c r="L13" s="47" t="n">
        <v>50</v>
      </c>
      <c r="M13" s="33" t="n">
        <v>75.5</v>
      </c>
    </row>
    <row r="14" customFormat="false" ht="15" hidden="false" customHeight="false" outlineLevel="0" collapsed="false">
      <c r="A14" s="47" t="s">
        <v>200</v>
      </c>
      <c r="B14" s="47" t="n">
        <v>30</v>
      </c>
      <c r="C14" s="47" t="n">
        <v>36</v>
      </c>
      <c r="D14" s="47" t="n">
        <v>10</v>
      </c>
      <c r="E14" s="47" t="n">
        <v>0</v>
      </c>
      <c r="F14" s="47" t="n">
        <v>5</v>
      </c>
      <c r="G14" s="47" t="n">
        <v>4</v>
      </c>
      <c r="H14" s="47" t="n">
        <v>2</v>
      </c>
      <c r="I14" s="47" t="n">
        <v>5</v>
      </c>
      <c r="J14" s="47" t="n">
        <v>10</v>
      </c>
      <c r="K14" s="32" t="n">
        <v>102</v>
      </c>
      <c r="L14" s="47" t="n">
        <v>60</v>
      </c>
      <c r="M14" s="33" t="n">
        <v>81</v>
      </c>
    </row>
    <row r="15" customFormat="false" ht="15" hidden="false" customHeight="false" outlineLevel="0" collapsed="false">
      <c r="A15" s="58" t="s">
        <v>260</v>
      </c>
      <c r="B15" s="59" t="n">
        <v>28</v>
      </c>
      <c r="C15" s="59" t="n">
        <v>27</v>
      </c>
      <c r="D15" s="59" t="n">
        <v>7</v>
      </c>
      <c r="E15" s="59" t="n">
        <v>2</v>
      </c>
      <c r="F15" s="59" t="n">
        <v>4</v>
      </c>
      <c r="G15" s="59" t="n">
        <v>4.2</v>
      </c>
      <c r="H15" s="59" t="n">
        <v>4</v>
      </c>
      <c r="I15" s="59" t="n">
        <v>5</v>
      </c>
      <c r="J15" s="59" t="n">
        <v>6</v>
      </c>
    </row>
    <row r="16" customFormat="false" ht="15" hidden="false" customHeight="false" outlineLevel="0" collapsed="false">
      <c r="A16" s="60" t="s">
        <v>261</v>
      </c>
      <c r="B16" s="59" t="s">
        <v>288</v>
      </c>
      <c r="C16" s="59" t="s">
        <v>262</v>
      </c>
      <c r="D16" s="59" t="s">
        <v>288</v>
      </c>
      <c r="E16" s="61" t="s">
        <v>307</v>
      </c>
      <c r="F16" s="61" t="s">
        <v>307</v>
      </c>
      <c r="G16" s="59" t="s">
        <v>266</v>
      </c>
      <c r="H16" s="61" t="s">
        <v>270</v>
      </c>
      <c r="I16" s="61" t="s">
        <v>270</v>
      </c>
      <c r="J16" s="59" t="s">
        <v>266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340</v>
      </c>
    </row>
    <row r="20" customFormat="false" ht="15" hidden="false" customHeight="false" outlineLevel="0" collapsed="false">
      <c r="A20" s="64" t="s">
        <v>274</v>
      </c>
      <c r="B20" s="54" t="s">
        <v>341</v>
      </c>
    </row>
    <row r="21" customFormat="false" ht="39.75" hidden="false" customHeight="true" outlineLevel="0" collapsed="false">
      <c r="A21" s="65" t="s">
        <v>342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70</v>
      </c>
      <c r="B25" s="68" t="n">
        <v>68</v>
      </c>
      <c r="C25" s="68" t="n">
        <v>70</v>
      </c>
      <c r="D25" s="68" t="n">
        <v>40</v>
      </c>
      <c r="E25" s="68" t="n">
        <v>40</v>
      </c>
      <c r="F25" s="68" t="n">
        <v>60</v>
      </c>
      <c r="G25" s="68" t="n">
        <v>50</v>
      </c>
      <c r="H25" s="68" t="n">
        <v>50</v>
      </c>
      <c r="I25" s="68" t="n">
        <v>60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76.5</v>
      </c>
      <c r="B43" s="0" t="n">
        <v>50</v>
      </c>
      <c r="C43" s="0" t="n">
        <v>50</v>
      </c>
      <c r="D43" s="0" t="n">
        <v>75.5</v>
      </c>
      <c r="E43" s="0" t="n">
        <v>81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343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344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70</v>
      </c>
      <c r="B6" s="57"/>
      <c r="C6" s="57" t="n">
        <v>45</v>
      </c>
      <c r="D6" s="57"/>
      <c r="E6" s="57" t="n">
        <v>40.5</v>
      </c>
      <c r="F6" s="57"/>
      <c r="G6" s="57" t="n">
        <v>47</v>
      </c>
      <c r="H6" s="57"/>
      <c r="I6" s="57" t="n">
        <v>79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20</v>
      </c>
      <c r="C10" s="47" t="n">
        <v>20</v>
      </c>
      <c r="D10" s="47" t="n">
        <v>5</v>
      </c>
      <c r="E10" s="47" t="n">
        <v>2.5</v>
      </c>
      <c r="F10" s="47" t="n">
        <v>5</v>
      </c>
      <c r="G10" s="47" t="n">
        <v>3.5</v>
      </c>
      <c r="H10" s="47" t="n">
        <v>4</v>
      </c>
      <c r="I10" s="47" t="n">
        <v>5</v>
      </c>
      <c r="J10" s="47" t="n">
        <v>5</v>
      </c>
      <c r="K10" s="32" t="n">
        <v>70</v>
      </c>
      <c r="L10" s="47" t="n">
        <v>30</v>
      </c>
      <c r="M10" s="33" t="n">
        <v>50</v>
      </c>
    </row>
    <row r="11" customFormat="false" ht="15" hidden="false" customHeight="false" outlineLevel="0" collapsed="false">
      <c r="A11" s="47" t="s">
        <v>197</v>
      </c>
      <c r="B11" s="47" t="n">
        <v>37</v>
      </c>
      <c r="C11" s="47" t="n">
        <v>38</v>
      </c>
      <c r="D11" s="47" t="n">
        <v>10</v>
      </c>
      <c r="E11" s="47" t="n">
        <v>5</v>
      </c>
      <c r="F11" s="47" t="n">
        <v>5</v>
      </c>
      <c r="G11" s="47" t="n">
        <v>2</v>
      </c>
      <c r="H11" s="47" t="n">
        <v>8</v>
      </c>
      <c r="I11" s="47" t="n">
        <v>5</v>
      </c>
      <c r="J11" s="47" t="n">
        <v>5</v>
      </c>
      <c r="K11" s="32" t="n">
        <v>115</v>
      </c>
      <c r="L11" s="47" t="n">
        <v>50</v>
      </c>
      <c r="M11" s="33" t="n">
        <v>82.5</v>
      </c>
    </row>
    <row r="12" customFormat="false" ht="15" hidden="false" customHeight="false" outlineLevel="0" collapsed="false">
      <c r="A12" s="47" t="s">
        <v>198</v>
      </c>
      <c r="B12" s="47" t="n">
        <v>20</v>
      </c>
      <c r="C12" s="47" t="n">
        <v>20</v>
      </c>
      <c r="D12" s="47" t="n">
        <v>5</v>
      </c>
      <c r="E12" s="47" t="n">
        <v>2.5</v>
      </c>
      <c r="F12" s="47" t="n">
        <v>5</v>
      </c>
      <c r="G12" s="47" t="n">
        <v>3.5</v>
      </c>
      <c r="H12" s="47" t="n">
        <v>4</v>
      </c>
      <c r="I12" s="47" t="n">
        <v>5</v>
      </c>
      <c r="J12" s="47" t="n">
        <v>5</v>
      </c>
      <c r="K12" s="32" t="n">
        <v>70</v>
      </c>
      <c r="L12" s="47" t="n">
        <v>30</v>
      </c>
      <c r="M12" s="33" t="n">
        <v>50</v>
      </c>
    </row>
    <row r="13" customFormat="false" ht="15" hidden="false" customHeight="false" outlineLevel="0" collapsed="false">
      <c r="A13" s="47" t="s">
        <v>199</v>
      </c>
      <c r="B13" s="47" t="n">
        <v>25</v>
      </c>
      <c r="C13" s="47" t="n">
        <v>23</v>
      </c>
      <c r="D13" s="47" t="n">
        <v>10</v>
      </c>
      <c r="E13" s="47" t="n">
        <v>5</v>
      </c>
      <c r="F13" s="47" t="n">
        <v>10</v>
      </c>
      <c r="G13" s="47" t="n">
        <v>6</v>
      </c>
      <c r="H13" s="47" t="n">
        <v>6</v>
      </c>
      <c r="I13" s="47" t="n">
        <v>8</v>
      </c>
      <c r="J13" s="47" t="n">
        <v>7.5</v>
      </c>
      <c r="K13" s="32" t="n">
        <v>100.5</v>
      </c>
      <c r="L13" s="47" t="n">
        <v>55</v>
      </c>
      <c r="M13" s="33" t="n">
        <v>77.8</v>
      </c>
    </row>
    <row r="14" customFormat="false" ht="15" hidden="false" customHeight="false" outlineLevel="0" collapsed="false">
      <c r="A14" s="47" t="s">
        <v>200</v>
      </c>
      <c r="B14" s="47" t="n">
        <v>39</v>
      </c>
      <c r="C14" s="47" t="n">
        <v>18</v>
      </c>
      <c r="D14" s="47" t="n">
        <v>10</v>
      </c>
      <c r="E14" s="47" t="n">
        <v>5</v>
      </c>
      <c r="F14" s="47" t="n">
        <v>10</v>
      </c>
      <c r="G14" s="47" t="n">
        <v>6</v>
      </c>
      <c r="H14" s="47" t="n">
        <v>6</v>
      </c>
      <c r="I14" s="47" t="n">
        <v>10</v>
      </c>
      <c r="J14" s="47" t="n">
        <v>10</v>
      </c>
      <c r="K14" s="32" t="n">
        <v>114</v>
      </c>
      <c r="L14" s="47" t="n">
        <v>60</v>
      </c>
      <c r="M14" s="33" t="n">
        <v>87</v>
      </c>
    </row>
    <row r="15" customFormat="false" ht="15" hidden="false" customHeight="false" outlineLevel="0" collapsed="false">
      <c r="A15" s="58" t="s">
        <v>260</v>
      </c>
      <c r="B15" s="59" t="n">
        <v>28.2</v>
      </c>
      <c r="C15" s="59" t="n">
        <v>23.8</v>
      </c>
      <c r="D15" s="59" t="n">
        <v>8</v>
      </c>
      <c r="E15" s="59" t="n">
        <v>4</v>
      </c>
      <c r="F15" s="59" t="n">
        <v>7</v>
      </c>
      <c r="G15" s="59" t="n">
        <v>4.2</v>
      </c>
      <c r="H15" s="59" t="n">
        <v>5.6</v>
      </c>
      <c r="I15" s="59" t="n">
        <v>6.6</v>
      </c>
      <c r="J15" s="59" t="n">
        <v>6.5</v>
      </c>
    </row>
    <row r="16" customFormat="false" ht="15" hidden="false" customHeight="false" outlineLevel="0" collapsed="false">
      <c r="A16" s="60" t="s">
        <v>261</v>
      </c>
      <c r="B16" s="59" t="s">
        <v>288</v>
      </c>
      <c r="C16" s="59" t="s">
        <v>266</v>
      </c>
      <c r="D16" s="62" t="s">
        <v>265</v>
      </c>
      <c r="E16" s="62" t="s">
        <v>265</v>
      </c>
      <c r="F16" s="59" t="s">
        <v>288</v>
      </c>
      <c r="G16" s="59" t="s">
        <v>266</v>
      </c>
      <c r="H16" s="59" t="s">
        <v>288</v>
      </c>
      <c r="I16" s="59" t="s">
        <v>321</v>
      </c>
      <c r="J16" s="59" t="s">
        <v>345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346</v>
      </c>
    </row>
    <row r="20" customFormat="false" ht="15" hidden="false" customHeight="false" outlineLevel="0" collapsed="false">
      <c r="A20" s="64" t="s">
        <v>274</v>
      </c>
      <c r="B20" s="54" t="s">
        <v>347</v>
      </c>
    </row>
    <row r="21" customFormat="false" ht="39.75" hidden="false" customHeight="true" outlineLevel="0" collapsed="false">
      <c r="A21" s="65" t="s">
        <v>348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70</v>
      </c>
      <c r="B25" s="68" t="n">
        <v>60</v>
      </c>
      <c r="C25" s="68" t="n">
        <v>80</v>
      </c>
      <c r="D25" s="68" t="n">
        <v>80</v>
      </c>
      <c r="E25" s="68" t="n">
        <v>70</v>
      </c>
      <c r="F25" s="68" t="n">
        <v>60</v>
      </c>
      <c r="G25" s="68" t="n">
        <v>70</v>
      </c>
      <c r="H25" s="68" t="n">
        <v>66</v>
      </c>
      <c r="I25" s="68" t="n">
        <v>65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50</v>
      </c>
      <c r="B43" s="0" t="n">
        <v>82.5</v>
      </c>
      <c r="C43" s="0" t="n">
        <v>50</v>
      </c>
      <c r="D43" s="0" t="n">
        <v>77.8</v>
      </c>
      <c r="E43" s="0" t="n">
        <v>87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349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313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28</v>
      </c>
      <c r="B6" s="57"/>
      <c r="C6" s="57" t="n">
        <v>33</v>
      </c>
      <c r="D6" s="57"/>
      <c r="E6" s="57" t="n">
        <v>25</v>
      </c>
      <c r="F6" s="57"/>
      <c r="G6" s="57" t="n">
        <v>25</v>
      </c>
      <c r="H6" s="57"/>
      <c r="I6" s="57" t="n">
        <v>53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25</v>
      </c>
      <c r="C10" s="47" t="n">
        <v>38</v>
      </c>
      <c r="D10" s="47" t="n">
        <v>5</v>
      </c>
      <c r="E10" s="47" t="n">
        <v>5</v>
      </c>
      <c r="F10" s="47" t="n">
        <v>10</v>
      </c>
      <c r="G10" s="47" t="n">
        <v>7</v>
      </c>
      <c r="H10" s="47" t="n">
        <v>8</v>
      </c>
      <c r="I10" s="47" t="n">
        <v>5</v>
      </c>
      <c r="J10" s="47" t="n">
        <v>10</v>
      </c>
      <c r="K10" s="32" t="n">
        <v>113</v>
      </c>
      <c r="L10" s="47" t="n">
        <v>45</v>
      </c>
      <c r="M10" s="33" t="n">
        <v>79</v>
      </c>
    </row>
    <row r="11" customFormat="false" ht="15" hidden="false" customHeight="false" outlineLevel="0" collapsed="false">
      <c r="A11" s="47" t="s">
        <v>197</v>
      </c>
      <c r="B11" s="47" t="n">
        <v>20</v>
      </c>
      <c r="C11" s="47" t="n">
        <v>20</v>
      </c>
      <c r="D11" s="47" t="n">
        <v>5</v>
      </c>
      <c r="E11" s="47" t="n">
        <v>2.5</v>
      </c>
      <c r="F11" s="47" t="n">
        <v>5</v>
      </c>
      <c r="G11" s="47" t="n">
        <v>3.5</v>
      </c>
      <c r="H11" s="47" t="n">
        <v>4</v>
      </c>
      <c r="I11" s="47" t="n">
        <v>5</v>
      </c>
      <c r="J11" s="47" t="n">
        <v>5</v>
      </c>
      <c r="K11" s="32" t="n">
        <v>70</v>
      </c>
      <c r="L11" s="47" t="n">
        <v>30</v>
      </c>
      <c r="M11" s="33" t="n">
        <v>50</v>
      </c>
    </row>
    <row r="12" customFormat="false" ht="15" hidden="false" customHeight="false" outlineLevel="0" collapsed="false">
      <c r="A12" s="47" t="s">
        <v>198</v>
      </c>
      <c r="B12" s="47" t="n">
        <v>20</v>
      </c>
      <c r="C12" s="47" t="n">
        <v>20</v>
      </c>
      <c r="D12" s="47" t="n">
        <v>5</v>
      </c>
      <c r="E12" s="47" t="n">
        <v>2.5</v>
      </c>
      <c r="F12" s="47" t="n">
        <v>5</v>
      </c>
      <c r="G12" s="47" t="n">
        <v>3.5</v>
      </c>
      <c r="H12" s="47" t="n">
        <v>4</v>
      </c>
      <c r="I12" s="47" t="n">
        <v>5</v>
      </c>
      <c r="J12" s="47" t="n">
        <v>5</v>
      </c>
      <c r="K12" s="32" t="n">
        <v>70</v>
      </c>
      <c r="L12" s="47" t="n">
        <v>30</v>
      </c>
      <c r="M12" s="33" t="n">
        <v>50</v>
      </c>
    </row>
    <row r="13" customFormat="false" ht="15" hidden="false" customHeight="false" outlineLevel="0" collapsed="false">
      <c r="A13" s="47" t="s">
        <v>199</v>
      </c>
      <c r="B13" s="47" t="n">
        <v>20</v>
      </c>
      <c r="C13" s="47" t="n">
        <v>20</v>
      </c>
      <c r="D13" s="47" t="n">
        <v>5</v>
      </c>
      <c r="E13" s="47" t="n">
        <v>2.5</v>
      </c>
      <c r="F13" s="47" t="n">
        <v>5</v>
      </c>
      <c r="G13" s="47" t="n">
        <v>3.5</v>
      </c>
      <c r="H13" s="47" t="n">
        <v>4</v>
      </c>
      <c r="I13" s="47" t="n">
        <v>5</v>
      </c>
      <c r="J13" s="47" t="n">
        <v>5</v>
      </c>
      <c r="K13" s="32" t="n">
        <v>70</v>
      </c>
      <c r="L13" s="47" t="n">
        <v>30</v>
      </c>
      <c r="M13" s="33" t="n">
        <v>50</v>
      </c>
    </row>
    <row r="14" customFormat="false" ht="15" hidden="false" customHeight="false" outlineLevel="0" collapsed="false">
      <c r="A14" s="47" t="s">
        <v>200</v>
      </c>
      <c r="B14" s="47" t="n">
        <v>20</v>
      </c>
      <c r="C14" s="47" t="n">
        <v>20</v>
      </c>
      <c r="D14" s="47" t="n">
        <v>5</v>
      </c>
      <c r="E14" s="47" t="n">
        <v>2.5</v>
      </c>
      <c r="F14" s="47" t="n">
        <v>5</v>
      </c>
      <c r="G14" s="47" t="n">
        <v>3.5</v>
      </c>
      <c r="H14" s="47" t="n">
        <v>4</v>
      </c>
      <c r="I14" s="47" t="n">
        <v>5</v>
      </c>
      <c r="J14" s="47" t="n">
        <v>5</v>
      </c>
      <c r="K14" s="32" t="n">
        <v>70</v>
      </c>
      <c r="L14" s="47" t="n">
        <v>30</v>
      </c>
      <c r="M14" s="33" t="n">
        <v>50</v>
      </c>
    </row>
    <row r="15" customFormat="false" ht="15" hidden="false" customHeight="false" outlineLevel="0" collapsed="false">
      <c r="A15" s="58" t="s">
        <v>260</v>
      </c>
      <c r="B15" s="59" t="n">
        <v>21</v>
      </c>
      <c r="C15" s="59" t="n">
        <v>23.6</v>
      </c>
      <c r="D15" s="59" t="n">
        <v>5</v>
      </c>
      <c r="E15" s="59" t="n">
        <v>3</v>
      </c>
      <c r="F15" s="59" t="n">
        <v>6</v>
      </c>
      <c r="G15" s="59" t="n">
        <v>4.2</v>
      </c>
      <c r="H15" s="59" t="n">
        <v>4.8</v>
      </c>
      <c r="I15" s="59" t="n">
        <v>5</v>
      </c>
      <c r="J15" s="59" t="n">
        <v>6</v>
      </c>
    </row>
    <row r="16" customFormat="false" ht="15" hidden="false" customHeight="false" outlineLevel="0" collapsed="false">
      <c r="A16" s="60" t="s">
        <v>261</v>
      </c>
      <c r="B16" s="61" t="s">
        <v>328</v>
      </c>
      <c r="C16" s="61" t="s">
        <v>350</v>
      </c>
      <c r="D16" s="61" t="s">
        <v>270</v>
      </c>
      <c r="E16" s="59" t="s">
        <v>266</v>
      </c>
      <c r="F16" s="59" t="s">
        <v>266</v>
      </c>
      <c r="G16" s="59" t="s">
        <v>266</v>
      </c>
      <c r="H16" s="59" t="s">
        <v>266</v>
      </c>
      <c r="I16" s="61" t="s">
        <v>270</v>
      </c>
      <c r="J16" s="59" t="s">
        <v>266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351</v>
      </c>
    </row>
    <row r="20" customFormat="false" ht="15" hidden="false" customHeight="false" outlineLevel="0" collapsed="false">
      <c r="A20" s="64" t="s">
        <v>274</v>
      </c>
      <c r="B20" s="54" t="s">
        <v>352</v>
      </c>
    </row>
    <row r="21" customFormat="false" ht="39.75" hidden="false" customHeight="true" outlineLevel="0" collapsed="false">
      <c r="A21" s="65" t="s">
        <v>353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52</v>
      </c>
      <c r="B25" s="68" t="n">
        <v>59</v>
      </c>
      <c r="C25" s="68" t="n">
        <v>50</v>
      </c>
      <c r="D25" s="68" t="n">
        <v>60</v>
      </c>
      <c r="E25" s="68" t="n">
        <v>60</v>
      </c>
      <c r="F25" s="68" t="n">
        <v>60</v>
      </c>
      <c r="G25" s="68" t="n">
        <v>60</v>
      </c>
      <c r="H25" s="68" t="n">
        <v>50</v>
      </c>
      <c r="I25" s="68" t="n">
        <v>60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79</v>
      </c>
      <c r="B43" s="0" t="n">
        <v>50</v>
      </c>
      <c r="C43" s="0" t="n">
        <v>50</v>
      </c>
      <c r="D43" s="0" t="n">
        <v>50</v>
      </c>
      <c r="E43" s="0" t="n">
        <v>50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8.65" hidden="false" customHeight="false" outlineLevel="0" collapsed="false">
      <c r="A1" s="24" t="s">
        <v>354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2.65" hidden="false" customHeight="false" outlineLevel="0" collapsed="false">
      <c r="A2" s="55" t="s">
        <v>313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customFormat="false" ht="15" hidden="false" customHeight="false" outlineLevel="0" collapsed="false">
      <c r="A4" s="21" t="s">
        <v>258</v>
      </c>
    </row>
    <row r="5" customFormat="false" ht="15" hidden="false" customHeight="true" outlineLevel="0" collapsed="false">
      <c r="A5" s="56" t="s">
        <v>12</v>
      </c>
      <c r="B5" s="56"/>
      <c r="C5" s="56" t="s">
        <v>4</v>
      </c>
      <c r="D5" s="56"/>
      <c r="E5" s="56" t="s">
        <v>13</v>
      </c>
      <c r="F5" s="56"/>
      <c r="G5" s="56" t="s">
        <v>14</v>
      </c>
      <c r="H5" s="56"/>
      <c r="I5" s="56" t="s">
        <v>15</v>
      </c>
      <c r="J5" s="56"/>
    </row>
    <row r="6" customFormat="false" ht="17.35" hidden="false" customHeight="false" outlineLevel="0" collapsed="false">
      <c r="A6" s="57" t="n">
        <v>25</v>
      </c>
      <c r="B6" s="57"/>
      <c r="C6" s="57" t="n">
        <v>34</v>
      </c>
      <c r="D6" s="57"/>
      <c r="E6" s="57" t="n">
        <v>25</v>
      </c>
      <c r="F6" s="57"/>
      <c r="G6" s="57" t="n">
        <v>25</v>
      </c>
      <c r="H6" s="57"/>
      <c r="I6" s="57" t="n">
        <v>50</v>
      </c>
      <c r="J6" s="57"/>
    </row>
    <row r="8" customFormat="false" ht="15" hidden="false" customHeight="false" outlineLevel="0" collapsed="false">
      <c r="A8" s="21" t="s">
        <v>259</v>
      </c>
    </row>
    <row r="9" customFormat="false" ht="27.75" hidden="false" customHeight="true" outlineLevel="0" collapsed="false">
      <c r="A9" s="16" t="s">
        <v>190</v>
      </c>
      <c r="B9" s="16" t="s">
        <v>191</v>
      </c>
      <c r="C9" s="16" t="s">
        <v>192</v>
      </c>
      <c r="D9" s="16" t="s">
        <v>128</v>
      </c>
      <c r="E9" s="16" t="s">
        <v>130</v>
      </c>
      <c r="F9" s="16" t="s">
        <v>132</v>
      </c>
      <c r="G9" s="16" t="s">
        <v>135</v>
      </c>
      <c r="H9" s="16" t="s">
        <v>137</v>
      </c>
      <c r="I9" s="16" t="s">
        <v>139</v>
      </c>
      <c r="J9" s="16" t="s">
        <v>141</v>
      </c>
      <c r="K9" s="16" t="s">
        <v>193</v>
      </c>
      <c r="L9" s="16" t="s">
        <v>194</v>
      </c>
      <c r="M9" s="16" t="s">
        <v>89</v>
      </c>
    </row>
    <row r="10" customFormat="false" ht="15" hidden="false" customHeight="false" outlineLevel="0" collapsed="false">
      <c r="A10" s="47" t="s">
        <v>75</v>
      </c>
      <c r="B10" s="47" t="n">
        <v>0</v>
      </c>
      <c r="C10" s="47" t="n">
        <v>21</v>
      </c>
      <c r="D10" s="47" t="n">
        <v>10</v>
      </c>
      <c r="E10" s="47" t="n">
        <v>0</v>
      </c>
      <c r="F10" s="47" t="n">
        <v>0</v>
      </c>
      <c r="G10" s="47" t="n">
        <v>4</v>
      </c>
      <c r="H10" s="47" t="n">
        <v>6</v>
      </c>
      <c r="I10" s="47" t="n">
        <v>0</v>
      </c>
      <c r="J10" s="47" t="n">
        <v>5</v>
      </c>
      <c r="K10" s="32" t="n">
        <v>46</v>
      </c>
      <c r="L10" s="47" t="n">
        <v>50</v>
      </c>
      <c r="M10" s="33" t="n">
        <v>48</v>
      </c>
    </row>
    <row r="11" customFormat="false" ht="15" hidden="false" customHeight="false" outlineLevel="0" collapsed="false">
      <c r="A11" s="47" t="s">
        <v>197</v>
      </c>
      <c r="B11" s="47" t="n">
        <v>20</v>
      </c>
      <c r="C11" s="47" t="n">
        <v>20</v>
      </c>
      <c r="D11" s="47" t="n">
        <v>5</v>
      </c>
      <c r="E11" s="47" t="n">
        <v>2.5</v>
      </c>
      <c r="F11" s="47" t="n">
        <v>5</v>
      </c>
      <c r="G11" s="47" t="n">
        <v>3.5</v>
      </c>
      <c r="H11" s="47" t="n">
        <v>4</v>
      </c>
      <c r="I11" s="47" t="n">
        <v>5</v>
      </c>
      <c r="J11" s="47" t="n">
        <v>5</v>
      </c>
      <c r="K11" s="32" t="n">
        <v>70</v>
      </c>
      <c r="L11" s="47" t="n">
        <v>30</v>
      </c>
      <c r="M11" s="33" t="n">
        <v>50</v>
      </c>
    </row>
    <row r="12" customFormat="false" ht="15" hidden="false" customHeight="false" outlineLevel="0" collapsed="false">
      <c r="A12" s="47" t="s">
        <v>198</v>
      </c>
      <c r="B12" s="47" t="n">
        <v>20</v>
      </c>
      <c r="C12" s="47" t="n">
        <v>20</v>
      </c>
      <c r="D12" s="47" t="n">
        <v>5</v>
      </c>
      <c r="E12" s="47" t="n">
        <v>2.5</v>
      </c>
      <c r="F12" s="47" t="n">
        <v>5</v>
      </c>
      <c r="G12" s="47" t="n">
        <v>3.5</v>
      </c>
      <c r="H12" s="47" t="n">
        <v>4</v>
      </c>
      <c r="I12" s="47" t="n">
        <v>5</v>
      </c>
      <c r="J12" s="47" t="n">
        <v>5</v>
      </c>
      <c r="K12" s="32" t="n">
        <v>70</v>
      </c>
      <c r="L12" s="47" t="n">
        <v>30</v>
      </c>
      <c r="M12" s="33" t="n">
        <v>50</v>
      </c>
    </row>
    <row r="13" customFormat="false" ht="15" hidden="false" customHeight="false" outlineLevel="0" collapsed="false">
      <c r="A13" s="47" t="s">
        <v>199</v>
      </c>
      <c r="B13" s="47" t="n">
        <v>20</v>
      </c>
      <c r="C13" s="47" t="n">
        <v>20</v>
      </c>
      <c r="D13" s="47" t="n">
        <v>5</v>
      </c>
      <c r="E13" s="47" t="n">
        <v>2.5</v>
      </c>
      <c r="F13" s="47" t="n">
        <v>5</v>
      </c>
      <c r="G13" s="47" t="n">
        <v>3.5</v>
      </c>
      <c r="H13" s="47" t="n">
        <v>4</v>
      </c>
      <c r="I13" s="47" t="n">
        <v>5</v>
      </c>
      <c r="J13" s="47" t="n">
        <v>5</v>
      </c>
      <c r="K13" s="32" t="n">
        <v>70</v>
      </c>
      <c r="L13" s="47" t="n">
        <v>30</v>
      </c>
      <c r="M13" s="33" t="n">
        <v>50</v>
      </c>
    </row>
    <row r="14" customFormat="false" ht="15" hidden="false" customHeight="false" outlineLevel="0" collapsed="false">
      <c r="A14" s="47" t="s">
        <v>200</v>
      </c>
      <c r="B14" s="47" t="n">
        <v>20</v>
      </c>
      <c r="C14" s="47" t="n">
        <v>20</v>
      </c>
      <c r="D14" s="47" t="n">
        <v>5</v>
      </c>
      <c r="E14" s="47" t="n">
        <v>2.5</v>
      </c>
      <c r="F14" s="47" t="n">
        <v>5</v>
      </c>
      <c r="G14" s="47" t="n">
        <v>3.5</v>
      </c>
      <c r="H14" s="47" t="n">
        <v>4</v>
      </c>
      <c r="I14" s="47" t="n">
        <v>5</v>
      </c>
      <c r="J14" s="47" t="n">
        <v>5</v>
      </c>
      <c r="K14" s="32" t="n">
        <v>70</v>
      </c>
      <c r="L14" s="47" t="n">
        <v>30</v>
      </c>
      <c r="M14" s="33" t="n">
        <v>50</v>
      </c>
    </row>
    <row r="15" customFormat="false" ht="15" hidden="false" customHeight="false" outlineLevel="0" collapsed="false">
      <c r="A15" s="58" t="s">
        <v>260</v>
      </c>
      <c r="B15" s="59" t="n">
        <v>16</v>
      </c>
      <c r="C15" s="59" t="n">
        <v>20.2</v>
      </c>
      <c r="D15" s="59" t="n">
        <v>6</v>
      </c>
      <c r="E15" s="59" t="n">
        <v>2</v>
      </c>
      <c r="F15" s="59" t="n">
        <v>4</v>
      </c>
      <c r="G15" s="59" t="n">
        <v>3.6</v>
      </c>
      <c r="H15" s="59" t="n">
        <v>4.4</v>
      </c>
      <c r="I15" s="59" t="n">
        <v>4</v>
      </c>
      <c r="J15" s="59" t="n">
        <v>5</v>
      </c>
    </row>
    <row r="16" customFormat="false" ht="15" hidden="false" customHeight="false" outlineLevel="0" collapsed="false">
      <c r="A16" s="60" t="s">
        <v>261</v>
      </c>
      <c r="B16" s="61" t="s">
        <v>307</v>
      </c>
      <c r="C16" s="61" t="s">
        <v>270</v>
      </c>
      <c r="D16" s="59" t="s">
        <v>266</v>
      </c>
      <c r="E16" s="61" t="s">
        <v>307</v>
      </c>
      <c r="F16" s="61" t="s">
        <v>307</v>
      </c>
      <c r="G16" s="61" t="s">
        <v>355</v>
      </c>
      <c r="H16" s="61" t="s">
        <v>356</v>
      </c>
      <c r="I16" s="61" t="s">
        <v>307</v>
      </c>
      <c r="J16" s="61" t="s">
        <v>270</v>
      </c>
    </row>
    <row r="18" customFormat="false" ht="15" hidden="false" customHeight="false" outlineLevel="0" collapsed="false">
      <c r="A18" s="21" t="s">
        <v>271</v>
      </c>
    </row>
    <row r="19" customFormat="false" ht="15" hidden="false" customHeight="false" outlineLevel="0" collapsed="false">
      <c r="A19" s="63" t="s">
        <v>272</v>
      </c>
      <c r="B19" s="54" t="s">
        <v>357</v>
      </c>
    </row>
    <row r="20" customFormat="false" ht="15" hidden="false" customHeight="false" outlineLevel="0" collapsed="false">
      <c r="A20" s="64" t="s">
        <v>274</v>
      </c>
      <c r="B20" s="54" t="s">
        <v>358</v>
      </c>
    </row>
    <row r="21" customFormat="false" ht="39.75" hidden="false" customHeight="true" outlineLevel="0" collapsed="false">
      <c r="A21" s="65" t="s">
        <v>359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3" customFormat="false" ht="15" hidden="false" customHeight="false" outlineLevel="0" collapsed="false">
      <c r="A23" s="66" t="s">
        <v>277</v>
      </c>
    </row>
    <row r="24" customFormat="false" ht="15" hidden="false" customHeight="false" outlineLevel="0" collapsed="false">
      <c r="A24" s="67" t="s">
        <v>191</v>
      </c>
      <c r="B24" s="67" t="s">
        <v>192</v>
      </c>
      <c r="C24" s="67" t="s">
        <v>128</v>
      </c>
      <c r="D24" s="67" t="s">
        <v>130</v>
      </c>
      <c r="E24" s="67" t="s">
        <v>132</v>
      </c>
      <c r="F24" s="67" t="s">
        <v>135</v>
      </c>
      <c r="G24" s="67" t="s">
        <v>137</v>
      </c>
      <c r="H24" s="67" t="s">
        <v>139</v>
      </c>
      <c r="I24" s="67" t="s">
        <v>141</v>
      </c>
    </row>
    <row r="25" customFormat="false" ht="15" hidden="false" customHeight="false" outlineLevel="0" collapsed="false">
      <c r="A25" s="68" t="n">
        <v>40</v>
      </c>
      <c r="B25" s="68" t="n">
        <v>50</v>
      </c>
      <c r="C25" s="68" t="n">
        <v>60</v>
      </c>
      <c r="D25" s="68" t="n">
        <v>40</v>
      </c>
      <c r="E25" s="68" t="n">
        <v>40</v>
      </c>
      <c r="F25" s="68" t="n">
        <v>51</v>
      </c>
      <c r="G25" s="68" t="n">
        <v>55</v>
      </c>
      <c r="H25" s="68" t="n">
        <v>40</v>
      </c>
      <c r="I25" s="68" t="n">
        <v>50</v>
      </c>
    </row>
    <row r="41" customFormat="false" ht="15" hidden="false" customHeight="false" outlineLevel="0" collapsed="false">
      <c r="A41" s="66" t="s">
        <v>278</v>
      </c>
    </row>
    <row r="42" customFormat="false" ht="15" hidden="false" customHeight="false" outlineLevel="0" collapsed="false">
      <c r="A42" s="69" t="s">
        <v>279</v>
      </c>
      <c r="B42" s="69" t="s">
        <v>280</v>
      </c>
      <c r="C42" s="69" t="s">
        <v>281</v>
      </c>
      <c r="D42" s="69" t="s">
        <v>282</v>
      </c>
      <c r="E42" s="69" t="s">
        <v>283</v>
      </c>
    </row>
    <row r="43" customFormat="false" ht="15" hidden="false" customHeight="false" outlineLevel="0" collapsed="false">
      <c r="A43" s="0" t="n">
        <v>48</v>
      </c>
      <c r="B43" s="0" t="n">
        <v>50</v>
      </c>
      <c r="C43" s="0" t="n">
        <v>50</v>
      </c>
      <c r="D43" s="0" t="n">
        <v>50</v>
      </c>
      <c r="E43" s="0" t="n">
        <v>50</v>
      </c>
    </row>
  </sheetData>
  <mergeCells count="13">
    <mergeCell ref="A1:M1"/>
    <mergeCell ref="A2:M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2026-08-22T16:07:34Z</dcterms:created>
  <dc:creator>openpyxl</dc:creator>
  <dc:description/>
  <dc:language>en-US</dc:language>
  <cp:lastModifiedBy/>
  <dcterms:modified xsi:type="dcterms:W3CDTF">2026-08-22T16:07:45Z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