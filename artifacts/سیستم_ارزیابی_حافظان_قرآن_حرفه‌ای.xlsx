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اشبورد" sheetId="1" state="visible" r:id="rId3"/>
    <sheet name="لیست دانش‌آموزان" sheetId="2" state="visible" r:id="rId4"/>
    <sheet name="ورود اطلاعات روزانه" sheetId="3" state="visible" r:id="rId5"/>
    <sheet name="عملکرد هفتگی" sheetId="4" state="visible" r:id="rId6"/>
    <sheet name="پرونده دانش‌آموز" sheetId="5" state="visible" r:id="rId7"/>
    <sheet name="تحلیل و پیشنهاد" sheetId="6" state="visible" r:id="rId8"/>
    <sheet name="تنظیمات" sheetId="7" state="visible" r:id="rId9"/>
    <sheet name="درباره سیستم" sheetId="8" state="visible" r:id="rId10"/>
    <sheet name="داده_نمودار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<sst xmlns="http://schemas.openxmlformats.org/spreadsheetml/2006/main" count="775" uniqueCount="226">
  <si>
    <t xml:space="preserve">سیستم حرفه‌ای ارزیابی عملکرد حافظان قرآن کریم | طرح صبحگاهی دارالقرآن</t>
  </si>
  <si>
    <t xml:space="preserve">نسخه ۱.۰ حرفه‌ای | هفته ارزیابی: ۲۲ مرداد ۱۴۰۵ | هدف: الگوی ملی ارزیابی حافظان</t>
  </si>
  <si>
    <t xml:space="preserve">شاخص‌های کلیدی کلاس</t>
  </si>
  <si>
    <t xml:space="preserve">رتبه‌بندی دانش‌آموزان (هفته ۲۲ مرداد)</t>
  </si>
  <si>
    <t xml:space="preserve">نقاط نیازمند توجه کلاس</t>
  </si>
  <si>
    <t xml:space="preserve">تعداد دانش‌آموزان</t>
  </si>
  <si>
    <t xml:space="preserve">رتبه</t>
  </si>
  <si>
    <t xml:space="preserve">نام دانش‌آموز</t>
  </si>
  <si>
    <t xml:space="preserve">نمره کل</t>
  </si>
  <si>
    <t xml:space="preserve">سطح</t>
  </si>
  <si>
    <t xml:space="preserve">امتیاز</t>
  </si>
  <si>
    <t xml:space="preserve">بخش‌های ضعیف‌تر (میانگین کلاس)</t>
  </si>
  <si>
    <t xml:space="preserve">میانگین نمره کل هفته</t>
  </si>
  <si>
    <t xml:space="preserve">محمد طه میرشکار</t>
  </si>
  <si>
    <t xml:space="preserve">B</t>
  </si>
  <si>
    <t xml:space="preserve">بخش</t>
  </si>
  <si>
    <t xml:space="preserve">میانگین</t>
  </si>
  <si>
    <t xml:space="preserve">حداکثر</t>
  </si>
  <si>
    <t xml:space="preserve">درصد موفقیت</t>
  </si>
  <si>
    <t xml:space="preserve">میانگین انضباط هفته</t>
  </si>
  <si>
    <t xml:space="preserve">سیدمحمدطه حسینی</t>
  </si>
  <si>
    <t xml:space="preserve">تشخیص عبارت</t>
  </si>
  <si>
    <t xml:space="preserve">تعداد سطح B</t>
  </si>
  <si>
    <t xml:space="preserve">بهزاد بیک</t>
  </si>
  <si>
    <t xml:space="preserve">شمارشی</t>
  </si>
  <si>
    <t xml:space="preserve">تعداد سطح C</t>
  </si>
  <si>
    <t xml:space="preserve">ابوالفضل دهقانیزاده</t>
  </si>
  <si>
    <t xml:space="preserve">ترتیب صفحه</t>
  </si>
  <si>
    <t xml:space="preserve">مرد اخلاق هفته</t>
  </si>
  <si>
    <t xml:space="preserve">محمد امین زارع</t>
  </si>
  <si>
    <t xml:space="preserve">شماره صفحه</t>
  </si>
  <si>
    <t xml:space="preserve">ابوالفضل پورصباغ</t>
  </si>
  <si>
    <t xml:space="preserve">C</t>
  </si>
  <si>
    <t xml:space="preserve">خواندنی ۲</t>
  </si>
  <si>
    <t xml:space="preserve">سیدمصطفی طباطبایی‌نسب</t>
  </si>
  <si>
    <t xml:space="preserve">ترتیب آیه</t>
  </si>
  <si>
    <t xml:space="preserve">بهنام بیک</t>
  </si>
  <si>
    <t xml:space="preserve">خواندنی ۱</t>
  </si>
  <si>
    <t xml:space="preserve">محمد طه زارعیان</t>
  </si>
  <si>
    <t xml:space="preserve">شماره آیه</t>
  </si>
  <si>
    <t xml:space="preserve">محمدمهدی زارعیان</t>
  </si>
  <si>
    <t xml:space="preserve">اول و آخر آیه</t>
  </si>
  <si>
    <t xml:space="preserve">سیدعلی حسینی‌مهر</t>
  </si>
  <si>
    <t xml:space="preserve">محمدرضا زارع بیدکی</t>
  </si>
  <si>
    <t xml:space="preserve">راهنمای سریع استفاده از سیستم</t>
  </si>
  <si>
    <t xml:space="preserve">۱. شیت «لیست دانش‌آموزان»: مشخصات پایه، سطح فعلی، امتیازات و توضیحات هر دانش‌آموز.</t>
  </si>
  <si>
    <t xml:space="preserve">۲. شیت «ورود اطلاعات روزانه»: معلم فقط سلول‌های زرد را پر می‌کند. جمع و میانگین خودکار محاسبه می‌شود.</t>
  </si>
  <si>
    <t xml:space="preserve">۳. شیت «عملکرد هفتگی»: خلاصه ارزیابی پایان هفته + آزمون کتبی و شفاهی + سطح‌بندی.</t>
  </si>
  <si>
    <t xml:space="preserve">۴. شیت «پرونده دانش‌آموز»: با انتخاب نام، خلاصه وضعیت نمایش داده می‌شود. برای تاریخچه کامل از فیلتر شیت ورود استفاده کنید.</t>
  </si>
  <si>
    <t xml:space="preserve">۵. شیت «تحلیل و پیشنهاد»: شناسایی نقاط ضعف هر دانش‌آموز و پیشنهاد تمرکز تمرین برای هفته بعد.</t>
  </si>
  <si>
    <t xml:space="preserve">۶. شیت «تنظیمات»: قوانین سطح‌بندی و حداکثر نمرات قابل تنظیم.</t>
  </si>
  <si>
    <t xml:space="preserve">۷. داده‌های هفته ۱۷ تا ۲۱ مرداد از قبل وارد شده‌اند. برای روزهای جدید از ردیف‌های خالی زردرنگ استفاده کنید.</t>
  </si>
  <si>
    <t xml:space="preserve">لیست و مشخصات پایه دانش‌آموزان حافظ</t>
  </si>
  <si>
    <t xml:space="preserve">ردیف</t>
  </si>
  <si>
    <t xml:space="preserve">نام و نام خانوادگی</t>
  </si>
  <si>
    <t xml:space="preserve">کد</t>
  </si>
  <si>
    <t xml:space="preserve">سطح فعلی</t>
  </si>
  <si>
    <t xml:space="preserve">تاریخ ورود</t>
  </si>
  <si>
    <t xml:space="preserve">میانگین کل</t>
  </si>
  <si>
    <t xml:space="preserve">نمره هفته جاری</t>
  </si>
  <si>
    <t xml:space="preserve">سطح هفته</t>
  </si>
  <si>
    <t xml:space="preserve">امتیازات</t>
  </si>
  <si>
    <t xml:space="preserve">توضیحات / جوایز</t>
  </si>
  <si>
    <t xml:space="preserve">وضعیت حضور</t>
  </si>
  <si>
    <t xml:space="preserve">S01</t>
  </si>
  <si>
    <t xml:space="preserve">1405/01/01</t>
  </si>
  <si>
    <t xml:space="preserve">نزول به سطح C</t>
  </si>
  <si>
    <t xml:space="preserve">حاضر</t>
  </si>
  <si>
    <t xml:space="preserve">S02</t>
  </si>
  <si>
    <t xml:space="preserve">ابقاء در سطح B</t>
  </si>
  <si>
    <t xml:space="preserve">S03</t>
  </si>
  <si>
    <t xml:space="preserve">ارتقاء به سطح B</t>
  </si>
  <si>
    <t xml:space="preserve">S04</t>
  </si>
  <si>
    <t xml:space="preserve">ابقاء در سطح B | ۷۵۰ امتیاز نقره‌ای</t>
  </si>
  <si>
    <t xml:space="preserve">S05</t>
  </si>
  <si>
    <t xml:space="preserve">S06</t>
  </si>
  <si>
    <t xml:space="preserve">ابقاء در سطح C</t>
  </si>
  <si>
    <t xml:space="preserve">S07</t>
  </si>
  <si>
    <t xml:space="preserve">مرد اخلاق این هفته و هفته پیش | ۲۰۰۰ امتیاز</t>
  </si>
  <si>
    <t xml:space="preserve">S08</t>
  </si>
  <si>
    <t xml:space="preserve">S09</t>
  </si>
  <si>
    <t xml:space="preserve">S10</t>
  </si>
  <si>
    <t xml:space="preserve">S11</t>
  </si>
  <si>
    <t xml:space="preserve">غیبت موجه - نمره پایه</t>
  </si>
  <si>
    <t xml:space="preserve">غیبت موجه</t>
  </si>
  <si>
    <t xml:space="preserve">S12</t>
  </si>
  <si>
    <t xml:space="preserve">قوانین سطح‌بندی فعلی:</t>
  </si>
  <si>
    <r>
      <rPr>
        <sz val="11"/>
        <color theme="1"/>
        <rFont val="Noto Sans"/>
        <family val="2"/>
      </rPr>
      <t xml:space="preserve">سطح </t>
    </r>
    <r>
      <rPr>
        <sz val="11"/>
        <color theme="1"/>
        <rFont val="Calibri"/>
        <family val="2"/>
        <charset val="1"/>
      </rPr>
      <t xml:space="preserve">B: </t>
    </r>
    <r>
      <rPr>
        <sz val="11"/>
        <color theme="1"/>
        <rFont val="Noto Sans"/>
        <family val="2"/>
      </rPr>
      <t xml:space="preserve">نمره ارزیابی کل هفته ≥ ۷۰ و میانگین انضباط هفته ≥ ۵۰</t>
    </r>
  </si>
  <si>
    <r>
      <rPr>
        <sz val="11"/>
        <color theme="1"/>
        <rFont val="Noto Sans"/>
        <family val="2"/>
      </rPr>
      <t xml:space="preserve">سطح </t>
    </r>
    <r>
      <rPr>
        <sz val="11"/>
        <color theme="1"/>
        <rFont val="Calibri"/>
        <family val="2"/>
        <charset val="1"/>
      </rPr>
      <t xml:space="preserve">C: </t>
    </r>
    <r>
      <rPr>
        <sz val="11"/>
        <color theme="1"/>
        <rFont val="Noto Sans"/>
        <family val="2"/>
      </rPr>
      <t xml:space="preserve">در غیر این صورت</t>
    </r>
  </si>
  <si>
    <r>
      <rPr>
        <sz val="11"/>
        <color theme="1"/>
        <rFont val="Noto Sans"/>
        <family val="2"/>
      </rPr>
      <t xml:space="preserve">مرد اخلاق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"/>
        <family val="2"/>
      </rPr>
      <t xml:space="preserve">بالاترین نمره انضباط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"/>
        <family val="2"/>
      </rPr>
      <t xml:space="preserve">رفتار</t>
    </r>
  </si>
  <si>
    <r>
      <rPr>
        <sz val="11"/>
        <color theme="1"/>
        <rFont val="Noto Sans"/>
        <family val="2"/>
      </rPr>
      <t xml:space="preserve">سلول‌های این شیت را می‌توانید دستی ویرایش کنید</t>
    </r>
    <r>
      <rPr>
        <sz val="11"/>
        <color theme="1"/>
        <rFont val="Calibri"/>
        <family val="2"/>
        <charset val="1"/>
      </rPr>
      <t xml:space="preserve">.</t>
    </r>
  </si>
  <si>
    <t xml:space="preserve">فرم ورود اطلاعات روزانه — فقط سلول‌های زرد را پر کنید</t>
  </si>
  <si>
    <t xml:space="preserve">حداکثر نمرات: خواندنی۱=۴۰ | خواندنی۲=۴۰ | شماره صفحه=۱۰ | شماره آیه=۵ | تشخیص عبارت=۱۰ | ترتیب آیه=۷ | ترتیب صفحه=۸ | اول‌وآخر آیه=۱۰ | شمارشی=۱۰  ←  جمع کل حداکثر ۱۴۰ | انضباط حداکثر ۶۰</t>
  </si>
  <si>
    <t xml:space="preserve">تاریخ</t>
  </si>
  <si>
    <t xml:space="preserve">خواندنی۱</t>
  </si>
  <si>
    <t xml:space="preserve">خواندنی۲</t>
  </si>
  <si>
    <t xml:space="preserve">جمع کل</t>
  </si>
  <si>
    <t xml:space="preserve">انضباط</t>
  </si>
  <si>
    <t xml:space="preserve">میانگین روز</t>
  </si>
  <si>
    <t xml:space="preserve">حضور</t>
  </si>
  <si>
    <t xml:space="preserve">یادداشت</t>
  </si>
  <si>
    <t xml:space="preserve">1405/05/17</t>
  </si>
  <si>
    <t xml:space="preserve">1405/05/18</t>
  </si>
  <si>
    <t xml:space="preserve">1405/05/19</t>
  </si>
  <si>
    <t xml:space="preserve">1405/05/20</t>
  </si>
  <si>
    <t xml:space="preserve">1405/05/21</t>
  </si>
  <si>
    <t xml:space="preserve">1405/05/24</t>
  </si>
  <si>
    <t xml:space="preserve">1405/05/25</t>
  </si>
  <si>
    <t xml:space="preserve">1405/05/26</t>
  </si>
  <si>
    <t xml:space="preserve">1405/05/27</t>
  </si>
  <si>
    <t xml:space="preserve">1405/05/28</t>
  </si>
  <si>
    <t xml:space="preserve">برای ثبت روز جدید، از ردیف‌های خالی زردرنگ زیر داده‌های موجود استفاده کنید. نام را از لیست کشویی انتخاب کنید.</t>
  </si>
  <si>
    <t xml:space="preserve">ارزیابی پایان هفته — ۲۲ مرداد ۱۴۰۵</t>
  </si>
  <si>
    <t xml:space="preserve">خلاصه عملکرد هفتگی بر اساس داده‌های روزانه و آزمون‌های پایان هفته</t>
  </si>
  <si>
    <t xml:space="preserve">میانگین ارزیابی روزانه</t>
  </si>
  <si>
    <t xml:space="preserve">میانگین انضباط</t>
  </si>
  <si>
    <t xml:space="preserve">آزمون شفاهی (۵۰)</t>
  </si>
  <si>
    <t xml:space="preserve">آزمون کتبی (۵۰)</t>
  </si>
  <si>
    <t xml:space="preserve">جمع شفاهی+کتبی</t>
  </si>
  <si>
    <t xml:space="preserve">نمره ارزیابی کل</t>
  </si>
  <si>
    <t xml:space="preserve">توضیحات</t>
  </si>
  <si>
    <t xml:space="preserve">پیشنهاد تمرکز</t>
  </si>
  <si>
    <t xml:space="preserve">آزمون شفاهی</t>
  </si>
  <si>
    <t xml:space="preserve">حفظ کیفیت</t>
  </si>
  <si>
    <t xml:space="preserve">انضباط و خواندنی</t>
  </si>
  <si>
    <t xml:space="preserve">حضور منظم + مرور پایه</t>
  </si>
  <si>
    <t xml:space="preserve">فرمول نمره ارزیابی کل هفته ≈ میانگین (میانگین ارزیابی‌های روزانه ، جمع آزمون شفاهی+کتبی)</t>
  </si>
  <si>
    <t xml:space="preserve">برای هفته‌های آینده پس از ورود داده‌های روزانه و نمرات آزمون، این جدول را به‌روز کنید.</t>
  </si>
  <si>
    <t xml:space="preserve">پرونده فردی دانش‌آموز — انتخاب نام برای مشاهده جزئیات</t>
  </si>
  <si>
    <t xml:space="preserve">انتخاب دانش‌آموز:</t>
  </si>
  <si>
    <t xml:space="preserve">خلاصه وضعیت فعلی (با انتخاب نام به‌روز می‌شود)</t>
  </si>
  <si>
    <t xml:space="preserve">سطح فعلی:</t>
  </si>
  <si>
    <t xml:space="preserve">نمره هفته جاری:</t>
  </si>
  <si>
    <t xml:space="preserve">امتیازات انباشته:</t>
  </si>
  <si>
    <t xml:space="preserve">توضیحات:</t>
  </si>
  <si>
    <t xml:space="preserve">راهنمای مشاهده تاریخچه کامل:</t>
  </si>
  <si>
    <r>
      <rPr>
        <sz val="11"/>
        <color theme="1"/>
        <rFont val="Noto 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به شیت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Noto Sans"/>
        <family val="2"/>
      </rPr>
      <t xml:space="preserve">ورود اطلاعات روزانه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Noto Sans"/>
        <family val="2"/>
      </rPr>
      <t xml:space="preserve">بروید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</si>
  <si>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۲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روی هدر ستون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Noto Sans"/>
        <family val="2"/>
      </rPr>
      <t xml:space="preserve">نام دانش‌آموز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Noto Sans"/>
        <family val="2"/>
      </rPr>
      <t xml:space="preserve">کلیک کنید و فیلتر را فعال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</si>
  <si>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۳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نام مورد نظر را انتخاب کنید تا فقط نمرات همان دانش‌آموز نمایش داده شود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</si>
  <si>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۴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می‌توانید از </t>
    </r>
    <r>
      <rPr>
        <sz val="11"/>
        <color theme="1"/>
        <rFont val="Calibri"/>
        <family val="2"/>
        <charset val="1"/>
      </rPr>
      <t xml:space="preserve">Insert &gt; Charts </t>
    </r>
    <r>
      <rPr>
        <sz val="11"/>
        <color theme="1"/>
        <rFont val="Noto Sans"/>
        <family val="2"/>
      </rPr>
      <t xml:space="preserve">برای رسم نمودار پیشرفت زمانی استفاده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</si>
  <si>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۵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"/>
        <family val="2"/>
      </rPr>
      <t xml:space="preserve">در شیت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Noto Sans"/>
        <family val="2"/>
      </rPr>
      <t xml:space="preserve">تحلیل و پیشنهاد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Noto Sans"/>
        <family val="2"/>
      </rPr>
      <t xml:space="preserve">نیز نقاط ضعف و پیشنهاد تمرین آماده است</t>
    </r>
    <r>
      <rPr>
        <sz val="11"/>
        <color theme="1"/>
        <rFont val="Calibri"/>
        <family val="2"/>
        <charset val="1"/>
      </rPr>
      <t xml:space="preserve">.</t>
    </r>
  </si>
  <si>
    <t xml:space="preserve">راهنمای تفسیر نمرات:</t>
  </si>
  <si>
    <r>
      <rPr>
        <sz val="11"/>
        <color theme="1"/>
        <rFont val="Noto Sans"/>
        <family val="2"/>
      </rPr>
      <t xml:space="preserve">میانگین روز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"/>
        <family val="2"/>
      </rPr>
      <t xml:space="preserve">میانگین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"/>
        <family val="2"/>
      </rPr>
      <t xml:space="preserve">جمع کل از ۱۴۰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"/>
        <family val="2"/>
      </rPr>
      <t xml:space="preserve">انضباط از ۶۰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</si>
  <si>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"/>
        <family val="2"/>
      </rPr>
      <t xml:space="preserve">نمره ارزیابی کل هفته ≈ میانگین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"/>
        <family val="2"/>
      </rPr>
      <t xml:space="preserve">میانگین روزانه هفته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"/>
        <family val="2"/>
      </rPr>
      <t xml:space="preserve">جمع آزمون شفاهی و کتبی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</si>
  <si>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"/>
        <family val="2"/>
      </rPr>
      <t xml:space="preserve">سطح </t>
    </r>
    <r>
      <rPr>
        <sz val="11"/>
        <color theme="1"/>
        <rFont val="Calibri"/>
        <family val="2"/>
        <charset val="1"/>
      </rPr>
      <t xml:space="preserve">B = </t>
    </r>
    <r>
      <rPr>
        <sz val="11"/>
        <color theme="1"/>
        <rFont val="Noto Sans"/>
        <family val="2"/>
      </rPr>
      <t xml:space="preserve">عملکرد خوب و پایدار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"/>
        <family val="2"/>
      </rPr>
      <t xml:space="preserve">سطح </t>
    </r>
    <r>
      <rPr>
        <sz val="11"/>
        <color theme="1"/>
        <rFont val="Calibri"/>
        <family val="2"/>
        <charset val="1"/>
      </rPr>
      <t xml:space="preserve">C = </t>
    </r>
    <r>
      <rPr>
        <sz val="11"/>
        <color theme="1"/>
        <rFont val="Noto Sans"/>
        <family val="2"/>
      </rPr>
      <t xml:space="preserve">نیاز به توجه و تمرین بیشتر</t>
    </r>
  </si>
  <si>
    <t xml:space="preserve">تحلیل پیشرفته عملکرد و پیشنهاد تمرین هفتگی</t>
  </si>
  <si>
    <t xml:space="preserve">جدول تحلیل همه دانش‌آموزان (بر اساس داده‌های هفته ۱۷–۲۱ مرداد)</t>
  </si>
  <si>
    <t xml:space="preserve">نام</t>
  </si>
  <si>
    <t xml:space="preserve">ضعیف‌ترین بخش</t>
  </si>
  <si>
    <t xml:space="preserve">درصد ضعیف‌ترین</t>
  </si>
  <si>
    <t xml:space="preserve">دومین ضعف</t>
  </si>
  <si>
    <t xml:space="preserve">پیشنهاد اصلی تمرین</t>
  </si>
  <si>
    <t xml:space="preserve">نکته انضباط</t>
  </si>
  <si>
    <t xml:space="preserve">اولویت هفته بعد</t>
  </si>
  <si>
    <t xml:space="preserve">تمرین بیشتر روی «اول و آخر آیه» و «شماره صفحه»</t>
  </si>
  <si>
    <t xml:space="preserve">انضباط مطلوب</t>
  </si>
  <si>
    <t xml:space="preserve">تمرین بیشتر روی «تشخیص عبارت» و «شمارشی»</t>
  </si>
  <si>
    <t xml:space="preserve">تمرین بیشتر روی «شمارشی» و «ترتیب صفحه»</t>
  </si>
  <si>
    <t xml:space="preserve">تمرین بیشتر روی «تشخیص عبارت» و «اول و آخر آیه»</t>
  </si>
  <si>
    <t xml:space="preserve">تمرین بیشتر روی «شماره آیه» و «ترتیب آیه»</t>
  </si>
  <si>
    <t xml:space="preserve">تمرین بیشتر روی «شمارشی» و «شماره آیه»</t>
  </si>
  <si>
    <t xml:space="preserve">انضباط نیاز به بهبود دارد</t>
  </si>
  <si>
    <t xml:space="preserve">انضباط + شمارشی</t>
  </si>
  <si>
    <t xml:space="preserve">تمرین بیشتر روی «شماره صفحه» و «تشخیص عبارت»</t>
  </si>
  <si>
    <t xml:space="preserve">تمرین بیشتر روی «تشخیص عبارت» و «شماره آیه»</t>
  </si>
  <si>
    <t xml:space="preserve">انضباط + تشخیص عبارت</t>
  </si>
  <si>
    <t xml:space="preserve">تمرین بیشتر روی «شماره آیه» و «تشخیص عبارت»</t>
  </si>
  <si>
    <t xml:space="preserve">انضباط + شماره آیه</t>
  </si>
  <si>
    <t xml:space="preserve">تمرین بیشتر روی «خواندنی ۲» و «ترتیب آیه»</t>
  </si>
  <si>
    <t xml:space="preserve">انضباط + خواندنی ۲</t>
  </si>
  <si>
    <t xml:space="preserve">مرور پایه‌ای و حضور منظم</t>
  </si>
  <si>
    <t xml:space="preserve">حضور و مرور پایه</t>
  </si>
  <si>
    <t xml:space="preserve">راهنمای تفسیر تحلیل:</t>
  </si>
  <si>
    <r>
      <rPr>
        <sz val="11"/>
        <color theme="1"/>
        <rFont val="Noto Sans"/>
        <family val="2"/>
      </rPr>
      <t xml:space="preserve">ضعیف‌ترین بخش بر اساس میانگین درصد موفقیت نسبت به حداکثر نمره هر بخش در طول هفته محاسبه شده است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</si>
  <si>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پیشنهاد تمرین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"/>
        <family val="2"/>
      </rPr>
      <t xml:space="preserve">تمرکز اصلی هفته آینده روی بخش‌های ضعیف برای بهبود نمره کل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</si>
  <si>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اولویت هفته بعد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"/>
        <family val="2"/>
      </rPr>
      <t xml:space="preserve">ترکیبی از نیاز انضباطی و بخش علمی ضعیف‌تر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</si>
  <si>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این تحلیل را می‌توانید هر هفته پس از ثبت نمرات جدید به‌روز کنید</t>
    </r>
    <r>
      <rPr>
        <sz val="11"/>
        <color theme="1"/>
        <rFont val="Calibri"/>
        <family val="2"/>
        <charset val="1"/>
      </rPr>
      <t xml:space="preserve">.</t>
    </r>
  </si>
  <si>
    <t xml:space="preserve">تنظیمات سیستم ارزیابی</t>
  </si>
  <si>
    <t xml:space="preserve">حداکثر نمرات هر بخش (قابل تغییر)</t>
  </si>
  <si>
    <t xml:space="preserve">حداکثر نمره</t>
  </si>
  <si>
    <t xml:space="preserve">توضیح</t>
  </si>
  <si>
    <t xml:space="preserve">خواندن از حفظ بخش اول</t>
  </si>
  <si>
    <t xml:space="preserve">خواندن از حفظ بخش دوم</t>
  </si>
  <si>
    <t xml:space="preserve">تشخیص شماره صفحه</t>
  </si>
  <si>
    <t xml:space="preserve">تشخیص شماره آیه (رند)</t>
  </si>
  <si>
    <t xml:space="preserve">یافتن عبارت در قرآن</t>
  </si>
  <si>
    <t xml:space="preserve">ترتیب آیات</t>
  </si>
  <si>
    <t xml:space="preserve">ترتیب صفحات</t>
  </si>
  <si>
    <t xml:space="preserve">ابتدا و انتهای آیه</t>
  </si>
  <si>
    <t xml:space="preserve">شمارش آیات یا کلمات</t>
  </si>
  <si>
    <t xml:space="preserve">جمع کل علمی</t>
  </si>
  <si>
    <t xml:space="preserve">مجموع ۹ بخش بالا</t>
  </si>
  <si>
    <t xml:space="preserve">نمره رفتاری و انضباطی روزانه</t>
  </si>
  <si>
    <t xml:space="preserve">قوانین سطح‌بندی</t>
  </si>
  <si>
    <r>
      <rPr>
        <sz val="11"/>
        <color theme="1"/>
        <rFont val="Noto Sans"/>
        <family val="2"/>
      </rPr>
      <t xml:space="preserve">حداقل نمره کل برای سطح </t>
    </r>
    <r>
      <rPr>
        <sz val="11"/>
        <color theme="1"/>
        <rFont val="Calibri"/>
        <family val="2"/>
        <charset val="1"/>
      </rPr>
      <t xml:space="preserve">B:</t>
    </r>
  </si>
  <si>
    <r>
      <rPr>
        <sz val="11"/>
        <color theme="1"/>
        <rFont val="Noto Sans"/>
        <family val="2"/>
      </rPr>
      <t xml:space="preserve">حداقل میانگین انضباط برای سطح </t>
    </r>
    <r>
      <rPr>
        <sz val="11"/>
        <color theme="1"/>
        <rFont val="Calibri"/>
        <family val="2"/>
        <charset val="1"/>
      </rPr>
      <t xml:space="preserve">B:</t>
    </r>
  </si>
  <si>
    <r>
      <rPr>
        <sz val="11"/>
        <color theme="1"/>
        <rFont val="Noto Sans"/>
        <family val="2"/>
      </rPr>
      <t xml:space="preserve">حداقل نمره انضباط برای مرد اخلاق</t>
    </r>
    <r>
      <rPr>
        <sz val="11"/>
        <color theme="1"/>
        <rFont val="Calibri"/>
        <family val="2"/>
        <charset val="1"/>
      </rPr>
      <t xml:space="preserve">:</t>
    </r>
  </si>
  <si>
    <t xml:space="preserve">نکات مهم برای گسترش سیستم:</t>
  </si>
  <si>
    <r>
      <rPr>
        <sz val="11"/>
        <color theme="1"/>
        <rFont val="Noto Sans"/>
        <family val="2"/>
      </rPr>
      <t xml:space="preserve">برای اضافه کردن دانش‌آموز جدید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"/>
        <family val="2"/>
      </rPr>
      <t xml:space="preserve">در شیت لیست دانش‌آموزان یک ردیف اضافه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</si>
  <si>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برای هفته‌های جدید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"/>
        <family val="2"/>
      </rPr>
      <t xml:space="preserve">داده‌های روزانه را در شیت ورود اطلاعات اضافه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</si>
  <si>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این فایل می‌تواند به عنوان الگوی ملی در سایر دارالقرآن‌ها استفاده شود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</si>
  <si>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"/>
        <family val="2"/>
      </rPr>
      <t xml:space="preserve">پیشنهاد آینده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"/>
        <family val="2"/>
      </rPr>
      <t xml:space="preserve">اتصال به </t>
    </r>
    <r>
      <rPr>
        <sz val="11"/>
        <color theme="1"/>
        <rFont val="Calibri"/>
        <family val="2"/>
        <charset val="1"/>
      </rPr>
      <t xml:space="preserve">Power BI </t>
    </r>
    <r>
      <rPr>
        <sz val="11"/>
        <color theme="1"/>
        <rFont val="Noto Sans"/>
        <family val="2"/>
      </rPr>
      <t xml:space="preserve">یا ساخت نسخه تحت وب</t>
    </r>
    <r>
      <rPr>
        <sz val="11"/>
        <color theme="1"/>
        <rFont val="Calibri"/>
        <family val="2"/>
        <charset val="1"/>
      </rPr>
      <t xml:space="preserve">.</t>
    </r>
  </si>
  <si>
    <t xml:space="preserve">درباره این سیستم ارزیابی</t>
  </si>
  <si>
    <t xml:space="preserve">این فایل اکسل به عنوان یک سیستم حرفه‌ای ثبت و ارزیابی عملکرد دانش‌آموزان حفظ قرآن در طرح صبحگاهی دارالقرآن طراحی شده است.</t>
  </si>
  <si>
    <t xml:space="preserve">اهداف اصلی:</t>
  </si>
  <si>
    <t xml:space="preserve">• ثبت دقیق و منظم نمرات روزانه ۹ بخش علمی + انضباط</t>
  </si>
  <si>
    <t xml:space="preserve">• محاسبه خودکار میانگین‌ها و نمرات ارزیابی هفتگی</t>
  </si>
  <si>
    <t xml:space="preserve">• سطح‌بندی شفاف دانش‌آموزان (B / C)</t>
  </si>
  <si>
    <t xml:space="preserve">• شناسایی نقاط ضعف فردی و ارائه پیشنهاد تمرین</t>
  </si>
  <si>
    <t xml:space="preserve">• داشبورد مدیریتی برای مسئول کلاس و مدیران</t>
  </si>
  <si>
    <t xml:space="preserve">• قابلیت گسترش به سایر کلاس‌ها و شهرها به عنوان الگوی ملی</t>
  </si>
  <si>
    <t xml:space="preserve">نحوه استفاده روزمره معلم:</t>
  </si>
  <si>
    <t xml:space="preserve">۱. هر روز پس از کلاس، به شیت «ورود اطلاعات روزانه» بروید.</t>
  </si>
  <si>
    <t xml:space="preserve">۲. تاریخ، نام دانش‌آموز (از لیست)، نمرات ۹ بخش، انضباط و حضور را وارد کنید.</t>
  </si>
  <si>
    <t xml:space="preserve">۳. جمع کل و میانگین روز خودکار محاسبه می‌شود.</t>
  </si>
  <si>
    <t xml:space="preserve">۴. در پایان هفته، نمرات آزمون شفاهی و کتبی را در شیت عملکرد هفتگی وارد/به‌روز کنید.</t>
  </si>
  <si>
    <t xml:space="preserve">۵. از شیت تحلیل و پیشنهاد برای برنامه‌ریزی تمرین هفته بعد استفاده کنید.</t>
  </si>
  <si>
    <t xml:space="preserve">توسعه‌های پیشنهادی آینده:</t>
  </si>
  <si>
    <t xml:space="preserve">• افزودن عکس دانش‌آموز در پرونده</t>
  </si>
  <si>
    <t xml:space="preserve">• استفاده از VBA برای پرونده کاملاً پویا با یک کلیک</t>
  </si>
  <si>
    <t xml:space="preserve">• اتصال به Google Sheets یا نسخه تحت وب</t>
  </si>
  <si>
    <t xml:space="preserve">• گزارش‌گیری ماهانه و ترمیک خودکار</t>
  </si>
  <si>
    <t xml:space="preserve">• سیستم امتیازدهی و جوایز پیشرفته‌تر</t>
  </si>
  <si>
    <t xml:space="preserve">طراحی شده با هدف خدمت به حفظ قرآن کریم و ارتقای کیفیت آموزش در دارالقرآن‌ها.</t>
  </si>
  <si>
    <t xml:space="preserve">نسخه ۱.۰ — مرداد ۱۴۰۵</t>
  </si>
  <si>
    <t xml:space="preserve">تعداد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</si>
</sst>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\%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sz val="11"/>
      <color rgb="FF546E7A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Noto Sans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color theme="1"/>
      <name val="Noto Sans"/>
      <family val="2"/>
    </font>
    <font>
      <sz val="9"/>
      <color rgb="FF546E7A"/>
      <name val="Arial"/>
      <family val="0"/>
      <charset val="1"/>
    </font>
    <font>
      <i val="true"/>
      <sz val="10"/>
      <color rgb="FFC62828"/>
      <name val="Arial"/>
      <family val="0"/>
      <charset val="1"/>
    </font>
    <font>
      <sz val="10"/>
      <color rgb="FF546E7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AF8"/>
        <bgColor rgb="FFE8F5E9"/>
      </patternFill>
    </fill>
    <fill>
      <patternFill patternType="solid">
        <fgColor rgb="FF1F4E79"/>
        <bgColor rgb="FF003366"/>
      </patternFill>
    </fill>
    <fill>
      <patternFill patternType="solid">
        <fgColor rgb="FFFFF8E1"/>
        <bgColor rgb="FFFFF2CC"/>
      </patternFill>
    </fill>
    <fill>
      <patternFill patternType="solid">
        <fgColor rgb="FFBBDEFB"/>
        <bgColor rgb="FFD6EAF8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F2CC"/>
      </patternFill>
    </fill>
    <fill>
      <patternFill patternType="solid">
        <fgColor rgb="FFC8E6C9"/>
        <bgColor rgb="FFD9D9D9"/>
      </patternFill>
    </fill>
    <fill>
      <patternFill patternType="solid">
        <fgColor rgb="FFFFF2CC"/>
        <bgColor rgb="FFFFF8E1"/>
      </patternFill>
    </fill>
    <fill>
      <patternFill patternType="solid">
        <fgColor rgb="FFE8F5E9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FFF8E1"/>
      <rgbColor rgb="FFD6EAF8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2CC"/>
      <rgbColor rgb="FF99CCFF"/>
      <rgbColor rgb="FFFFCDD2"/>
      <rgbColor rgb="FFCC99FF"/>
      <rgbColor rgb="FFFFE0B2"/>
      <rgbColor rgb="FF2E75B6"/>
      <rgbColor rgb="FF33CCCC"/>
      <rgbColor rgb="FF99CC00"/>
      <rgbColor rgb="FFFFCC00"/>
      <rgbColor rgb="FFFF9900"/>
      <rgbColor rgb="FFFF6600"/>
      <rgbColor rgb="FF546E7A"/>
      <rgbColor rgb="FF90A4AE"/>
      <rgbColor rgb="FF003366"/>
      <rgbColor rgb="FF339966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توزیع سطوح کلاس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داده_نمودار!B1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داده_نمودار!$A$2:$A$3</c:f>
              <c:strCache>
                <c:ptCount val="2"/>
                <c:pt idx="0">
                  <c:v>B</c:v>
                </c:pt>
                <c:pt idx="1">
                  <c:v>C</c:v>
                </c:pt>
              </c:strCache>
            </c:strRef>
          </c:cat>
          <c:val>
            <c:numRef>
              <c:f>داده_نمودار!$B$2:$B$3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-20160</xdr:colOff>
      <xdr:row>25</xdr:row>
      <xdr:rowOff>174960</xdr:rowOff>
    </xdr:from>
    <xdr:to>
      <xdr:col>4</xdr:col>
      <xdr:colOff>0</xdr:colOff>
      <xdr:row>41</xdr:row>
      <xdr:rowOff>6480</xdr:rowOff>
    </xdr:to>
    <xdr:graphicFrame>
      <xdr:nvGraphicFramePr>
        <xdr:cNvPr id="0" name="Chart 1"/>
        <xdr:cNvGraphicFramePr/>
      </xdr:nvGraphicFramePr>
      <xdr:xfrm>
        <a:off x="-4319640" y="5143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3" min="13" style="0" width="12"/>
  </cols>
  <sheetData>
    <row r="1" customFormat="false" ht="22.0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6.15" hidden="false" customHeight="false" outlineLevel="0" collapsed="false">
      <c r="A4" s="3" t="s">
        <v>2</v>
      </c>
      <c r="D4" s="3" t="s">
        <v>3</v>
      </c>
      <c r="J4" s="3" t="s">
        <v>4</v>
      </c>
    </row>
    <row r="5" customFormat="false" ht="16.15" hidden="false" customHeight="false" outlineLevel="0" collapsed="false">
      <c r="A5" s="4" t="s">
        <v>5</v>
      </c>
      <c r="B5" s="5" t="n">
        <v>12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J5" s="7" t="s">
        <v>11</v>
      </c>
    </row>
    <row r="6" customFormat="false" ht="16.15" hidden="false" customHeight="false" outlineLevel="0" collapsed="false">
      <c r="A6" s="4" t="s">
        <v>12</v>
      </c>
      <c r="B6" s="5" t="n">
        <v>70</v>
      </c>
      <c r="D6" s="8" t="n">
        <v>1</v>
      </c>
      <c r="E6" s="9" t="s">
        <v>13</v>
      </c>
      <c r="F6" s="10" t="n">
        <v>79</v>
      </c>
      <c r="G6" s="11" t="s">
        <v>14</v>
      </c>
      <c r="H6" s="9" t="n">
        <v>0</v>
      </c>
      <c r="J6" s="6" t="s">
        <v>15</v>
      </c>
      <c r="K6" s="6" t="s">
        <v>16</v>
      </c>
      <c r="L6" s="6" t="s">
        <v>17</v>
      </c>
      <c r="M6" s="6" t="s">
        <v>18</v>
      </c>
    </row>
    <row r="7" customFormat="false" ht="16.15" hidden="false" customHeight="false" outlineLevel="0" collapsed="false">
      <c r="A7" s="4" t="s">
        <v>19</v>
      </c>
      <c r="B7" s="5" t="n">
        <v>48</v>
      </c>
      <c r="D7" s="8" t="n">
        <v>2</v>
      </c>
      <c r="E7" s="9" t="s">
        <v>20</v>
      </c>
      <c r="F7" s="10" t="n">
        <v>79</v>
      </c>
      <c r="G7" s="11" t="s">
        <v>14</v>
      </c>
      <c r="H7" s="9" t="n">
        <v>0</v>
      </c>
      <c r="J7" s="12" t="s">
        <v>21</v>
      </c>
      <c r="K7" s="12" t="n">
        <v>4.5</v>
      </c>
      <c r="L7" s="12" t="n">
        <v>10</v>
      </c>
      <c r="M7" s="13" t="n">
        <v>45.4</v>
      </c>
    </row>
    <row r="8" customFormat="false" ht="16.15" hidden="false" customHeight="false" outlineLevel="0" collapsed="false">
      <c r="A8" s="4" t="s">
        <v>22</v>
      </c>
      <c r="B8" s="5" t="n">
        <v>5</v>
      </c>
      <c r="D8" s="8" t="n">
        <v>3</v>
      </c>
      <c r="E8" s="9" t="s">
        <v>23</v>
      </c>
      <c r="F8" s="10" t="n">
        <v>79</v>
      </c>
      <c r="G8" s="11" t="s">
        <v>14</v>
      </c>
      <c r="H8" s="9" t="n">
        <v>750</v>
      </c>
      <c r="J8" s="12" t="s">
        <v>24</v>
      </c>
      <c r="K8" s="12" t="n">
        <v>5.2</v>
      </c>
      <c r="L8" s="12" t="n">
        <v>10</v>
      </c>
      <c r="M8" s="14" t="n">
        <v>52.2</v>
      </c>
    </row>
    <row r="9" customFormat="false" ht="16.15" hidden="false" customHeight="false" outlineLevel="0" collapsed="false">
      <c r="A9" s="4" t="s">
        <v>25</v>
      </c>
      <c r="B9" s="5" t="n">
        <v>7</v>
      </c>
      <c r="D9" s="9" t="n">
        <v>4</v>
      </c>
      <c r="E9" s="9" t="s">
        <v>26</v>
      </c>
      <c r="F9" s="10" t="n">
        <v>77.5</v>
      </c>
      <c r="G9" s="11" t="s">
        <v>14</v>
      </c>
      <c r="H9" s="9" t="n">
        <v>750</v>
      </c>
      <c r="J9" s="12" t="s">
        <v>27</v>
      </c>
      <c r="K9" s="12" t="n">
        <v>4.7</v>
      </c>
      <c r="L9" s="12" t="n">
        <v>8</v>
      </c>
      <c r="M9" s="14" t="n">
        <v>58.7</v>
      </c>
    </row>
    <row r="10" customFormat="false" ht="16.15" hidden="false" customHeight="false" outlineLevel="0" collapsed="false">
      <c r="A10" s="4" t="s">
        <v>28</v>
      </c>
      <c r="B10" s="5" t="s">
        <v>29</v>
      </c>
      <c r="D10" s="9" t="n">
        <v>5</v>
      </c>
      <c r="E10" s="9" t="s">
        <v>29</v>
      </c>
      <c r="F10" s="10" t="n">
        <v>77.5</v>
      </c>
      <c r="G10" s="11" t="s">
        <v>14</v>
      </c>
      <c r="H10" s="9" t="n">
        <v>2000</v>
      </c>
      <c r="J10" s="12" t="s">
        <v>30</v>
      </c>
      <c r="K10" s="12" t="n">
        <v>5.9</v>
      </c>
      <c r="L10" s="12" t="n">
        <v>10</v>
      </c>
      <c r="M10" s="14" t="n">
        <v>58.8</v>
      </c>
    </row>
    <row r="11" customFormat="false" ht="15" hidden="false" customHeight="false" outlineLevel="0" collapsed="false">
      <c r="D11" s="9" t="n">
        <v>6</v>
      </c>
      <c r="E11" s="9" t="s">
        <v>31</v>
      </c>
      <c r="F11" s="10" t="n">
        <v>74</v>
      </c>
      <c r="G11" s="15" t="s">
        <v>32</v>
      </c>
      <c r="H11" s="9" t="n">
        <v>0</v>
      </c>
      <c r="J11" s="12" t="s">
        <v>33</v>
      </c>
      <c r="K11" s="12" t="n">
        <v>25.8</v>
      </c>
      <c r="L11" s="12" t="n">
        <v>40</v>
      </c>
      <c r="M11" s="14" t="n">
        <v>64.5</v>
      </c>
    </row>
    <row r="12" customFormat="false" ht="15" hidden="false" customHeight="false" outlineLevel="0" collapsed="false">
      <c r="D12" s="9" t="n">
        <v>7</v>
      </c>
      <c r="E12" s="9" t="s">
        <v>34</v>
      </c>
      <c r="F12" s="10" t="n">
        <v>72</v>
      </c>
      <c r="G12" s="15" t="s">
        <v>32</v>
      </c>
      <c r="H12" s="9" t="n">
        <v>0</v>
      </c>
      <c r="J12" s="12" t="s">
        <v>35</v>
      </c>
      <c r="K12" s="12" t="n">
        <v>4.5</v>
      </c>
      <c r="L12" s="12" t="n">
        <v>7</v>
      </c>
      <c r="M12" s="14" t="n">
        <v>64.5</v>
      </c>
    </row>
    <row r="13" customFormat="false" ht="15" hidden="false" customHeight="false" outlineLevel="0" collapsed="false">
      <c r="D13" s="9" t="n">
        <v>8</v>
      </c>
      <c r="E13" s="9" t="s">
        <v>36</v>
      </c>
      <c r="F13" s="10" t="n">
        <v>69</v>
      </c>
      <c r="G13" s="15" t="s">
        <v>32</v>
      </c>
      <c r="H13" s="9" t="n">
        <v>0</v>
      </c>
      <c r="J13" s="12" t="s">
        <v>37</v>
      </c>
      <c r="K13" s="12" t="n">
        <v>25.9</v>
      </c>
      <c r="L13" s="12" t="n">
        <v>40</v>
      </c>
      <c r="M13" s="14" t="n">
        <v>64.8</v>
      </c>
    </row>
    <row r="14" customFormat="false" ht="15" hidden="false" customHeight="false" outlineLevel="0" collapsed="false">
      <c r="D14" s="9" t="n">
        <v>9</v>
      </c>
      <c r="E14" s="9" t="s">
        <v>38</v>
      </c>
      <c r="F14" s="10" t="n">
        <v>67</v>
      </c>
      <c r="G14" s="15" t="s">
        <v>32</v>
      </c>
      <c r="H14" s="9" t="n">
        <v>500</v>
      </c>
      <c r="J14" s="12" t="s">
        <v>39</v>
      </c>
      <c r="K14" s="12" t="n">
        <v>3.3</v>
      </c>
      <c r="L14" s="12" t="n">
        <v>5</v>
      </c>
      <c r="M14" s="14" t="n">
        <v>66.9</v>
      </c>
    </row>
    <row r="15" customFormat="false" ht="15" hidden="false" customHeight="false" outlineLevel="0" collapsed="false">
      <c r="D15" s="9" t="n">
        <v>10</v>
      </c>
      <c r="E15" s="9" t="s">
        <v>40</v>
      </c>
      <c r="F15" s="10" t="n">
        <v>63.5</v>
      </c>
      <c r="G15" s="15" t="s">
        <v>32</v>
      </c>
      <c r="H15" s="9" t="n">
        <v>0</v>
      </c>
      <c r="J15" s="12" t="s">
        <v>41</v>
      </c>
      <c r="K15" s="12" t="n">
        <v>9.9</v>
      </c>
      <c r="L15" s="12" t="n">
        <v>10</v>
      </c>
      <c r="M15" s="16" t="n">
        <v>99.2</v>
      </c>
    </row>
    <row r="16" customFormat="false" ht="15" hidden="false" customHeight="false" outlineLevel="0" collapsed="false">
      <c r="D16" s="9" t="n">
        <v>11</v>
      </c>
      <c r="E16" s="9" t="s">
        <v>42</v>
      </c>
      <c r="F16" s="10" t="n">
        <v>53</v>
      </c>
      <c r="G16" s="15" t="s">
        <v>32</v>
      </c>
      <c r="H16" s="9" t="n">
        <v>0</v>
      </c>
    </row>
    <row r="17" customFormat="false" ht="15" hidden="false" customHeight="false" outlineLevel="0" collapsed="false">
      <c r="D17" s="9" t="n">
        <v>12</v>
      </c>
      <c r="E17" s="9" t="s">
        <v>43</v>
      </c>
      <c r="F17" s="10" t="n">
        <v>50</v>
      </c>
      <c r="G17" s="15" t="s">
        <v>32</v>
      </c>
      <c r="H17" s="9" t="n">
        <v>0</v>
      </c>
    </row>
    <row r="19" customFormat="false" ht="16.15" hidden="false" customHeight="false" outlineLevel="0" collapsed="false">
      <c r="A19" s="3" t="s">
        <v>44</v>
      </c>
    </row>
    <row r="20" customFormat="false" ht="15" hidden="false" customHeight="false" outlineLevel="0" collapsed="false">
      <c r="A20" s="17" t="s">
        <v>45</v>
      </c>
    </row>
    <row r="21" customFormat="false" ht="15" hidden="false" customHeight="false" outlineLevel="0" collapsed="false">
      <c r="A21" s="17" t="s">
        <v>46</v>
      </c>
    </row>
    <row r="22" customFormat="false" ht="15" hidden="false" customHeight="false" outlineLevel="0" collapsed="false">
      <c r="A22" s="17" t="s">
        <v>47</v>
      </c>
    </row>
    <row r="23" customFormat="false" ht="15" hidden="false" customHeight="false" outlineLevel="0" collapsed="false">
      <c r="A23" s="17" t="s">
        <v>48</v>
      </c>
    </row>
    <row r="24" customFormat="false" ht="15" hidden="false" customHeight="false" outlineLevel="0" collapsed="false">
      <c r="A24" s="17" t="s">
        <v>49</v>
      </c>
    </row>
    <row r="25" customFormat="false" ht="15" hidden="false" customHeight="false" outlineLevel="0" collapsed="false">
      <c r="A25" s="17" t="s">
        <v>50</v>
      </c>
    </row>
    <row r="26" customFormat="false" ht="15" hidden="false" customHeight="false" outlineLevel="0" collapsed="false">
      <c r="A26" s="17" t="s">
        <v>51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50"/>
    <col collapsed="false" customWidth="true" hidden="false" outlineLevel="0" max="11" min="11" style="0" width="12"/>
  </cols>
  <sheetData>
    <row r="1" customFormat="false" ht="22.0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0" hidden="false" customHeight="true" outlineLevel="0" collapsed="false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62</v>
      </c>
      <c r="K3" s="6" t="s">
        <v>63</v>
      </c>
    </row>
    <row r="4" customFormat="false" ht="15" hidden="false" customHeight="false" outlineLevel="0" collapsed="false">
      <c r="A4" s="9" t="n">
        <v>1</v>
      </c>
      <c r="B4" s="9" t="s">
        <v>38</v>
      </c>
      <c r="C4" s="9" t="s">
        <v>64</v>
      </c>
      <c r="D4" s="15" t="s">
        <v>32</v>
      </c>
      <c r="E4" s="9" t="s">
        <v>65</v>
      </c>
      <c r="F4" s="10" t="n">
        <v>67</v>
      </c>
      <c r="G4" s="10" t="n">
        <v>67</v>
      </c>
      <c r="H4" s="15" t="s">
        <v>32</v>
      </c>
      <c r="I4" s="9" t="n">
        <v>500</v>
      </c>
      <c r="J4" s="9" t="s">
        <v>66</v>
      </c>
      <c r="K4" s="9" t="s">
        <v>67</v>
      </c>
    </row>
    <row r="5" customFormat="false" ht="15" hidden="false" customHeight="false" outlineLevel="0" collapsed="false">
      <c r="A5" s="9" t="n">
        <v>2</v>
      </c>
      <c r="B5" s="9" t="s">
        <v>13</v>
      </c>
      <c r="C5" s="9" t="s">
        <v>68</v>
      </c>
      <c r="D5" s="11" t="s">
        <v>14</v>
      </c>
      <c r="E5" s="9" t="s">
        <v>65</v>
      </c>
      <c r="F5" s="10" t="n">
        <v>79</v>
      </c>
      <c r="G5" s="10" t="n">
        <v>79</v>
      </c>
      <c r="H5" s="11" t="s">
        <v>14</v>
      </c>
      <c r="I5" s="9" t="n">
        <v>0</v>
      </c>
      <c r="J5" s="9" t="s">
        <v>69</v>
      </c>
      <c r="K5" s="9" t="s">
        <v>67</v>
      </c>
    </row>
    <row r="6" customFormat="false" ht="15" hidden="false" customHeight="false" outlineLevel="0" collapsed="false">
      <c r="A6" s="9" t="n">
        <v>3</v>
      </c>
      <c r="B6" s="9" t="s">
        <v>20</v>
      </c>
      <c r="C6" s="9" t="s">
        <v>70</v>
      </c>
      <c r="D6" s="11" t="s">
        <v>14</v>
      </c>
      <c r="E6" s="9" t="s">
        <v>65</v>
      </c>
      <c r="F6" s="10" t="n">
        <v>79</v>
      </c>
      <c r="G6" s="10" t="n">
        <v>79</v>
      </c>
      <c r="H6" s="11" t="s">
        <v>14</v>
      </c>
      <c r="I6" s="9" t="n">
        <v>0</v>
      </c>
      <c r="J6" s="9" t="s">
        <v>71</v>
      </c>
      <c r="K6" s="9" t="s">
        <v>67</v>
      </c>
    </row>
    <row r="7" customFormat="false" ht="15" hidden="false" customHeight="false" outlineLevel="0" collapsed="false">
      <c r="A7" s="9" t="n">
        <v>4</v>
      </c>
      <c r="B7" s="9" t="s">
        <v>26</v>
      </c>
      <c r="C7" s="9" t="s">
        <v>72</v>
      </c>
      <c r="D7" s="11" t="s">
        <v>14</v>
      </c>
      <c r="E7" s="9" t="s">
        <v>65</v>
      </c>
      <c r="F7" s="10" t="n">
        <v>77.5</v>
      </c>
      <c r="G7" s="10" t="n">
        <v>77.5</v>
      </c>
      <c r="H7" s="11" t="s">
        <v>14</v>
      </c>
      <c r="I7" s="9" t="n">
        <v>750</v>
      </c>
      <c r="J7" s="9" t="s">
        <v>73</v>
      </c>
      <c r="K7" s="9" t="s">
        <v>67</v>
      </c>
    </row>
    <row r="8" customFormat="false" ht="15" hidden="false" customHeight="false" outlineLevel="0" collapsed="false">
      <c r="A8" s="9" t="n">
        <v>5</v>
      </c>
      <c r="B8" s="9" t="s">
        <v>40</v>
      </c>
      <c r="C8" s="9" t="s">
        <v>74</v>
      </c>
      <c r="D8" s="15" t="s">
        <v>32</v>
      </c>
      <c r="E8" s="9" t="s">
        <v>65</v>
      </c>
      <c r="F8" s="10" t="n">
        <v>63.5</v>
      </c>
      <c r="G8" s="10" t="n">
        <v>63.5</v>
      </c>
      <c r="H8" s="15" t="s">
        <v>32</v>
      </c>
      <c r="I8" s="9" t="n">
        <v>0</v>
      </c>
      <c r="J8" s="9" t="s">
        <v>66</v>
      </c>
      <c r="K8" s="9" t="s">
        <v>67</v>
      </c>
    </row>
    <row r="9" customFormat="false" ht="15" hidden="false" customHeight="false" outlineLevel="0" collapsed="false">
      <c r="A9" s="9" t="n">
        <v>6</v>
      </c>
      <c r="B9" s="9" t="s">
        <v>36</v>
      </c>
      <c r="C9" s="9" t="s">
        <v>75</v>
      </c>
      <c r="D9" s="15" t="s">
        <v>32</v>
      </c>
      <c r="E9" s="9" t="s">
        <v>65</v>
      </c>
      <c r="F9" s="10" t="n">
        <v>69</v>
      </c>
      <c r="G9" s="10" t="n">
        <v>69</v>
      </c>
      <c r="H9" s="15" t="s">
        <v>32</v>
      </c>
      <c r="I9" s="9" t="n">
        <v>0</v>
      </c>
      <c r="J9" s="9" t="s">
        <v>76</v>
      </c>
      <c r="K9" s="9" t="s">
        <v>67</v>
      </c>
    </row>
    <row r="10" customFormat="false" ht="15" hidden="false" customHeight="false" outlineLevel="0" collapsed="false">
      <c r="A10" s="9" t="n">
        <v>7</v>
      </c>
      <c r="B10" s="9" t="s">
        <v>29</v>
      </c>
      <c r="C10" s="9" t="s">
        <v>77</v>
      </c>
      <c r="D10" s="11" t="s">
        <v>14</v>
      </c>
      <c r="E10" s="9" t="s">
        <v>65</v>
      </c>
      <c r="F10" s="10" t="n">
        <v>77.5</v>
      </c>
      <c r="G10" s="10" t="n">
        <v>77.5</v>
      </c>
      <c r="H10" s="11" t="s">
        <v>14</v>
      </c>
      <c r="I10" s="9" t="n">
        <v>2000</v>
      </c>
      <c r="J10" s="9" t="s">
        <v>78</v>
      </c>
      <c r="K10" s="9" t="s">
        <v>67</v>
      </c>
    </row>
    <row r="11" customFormat="false" ht="15" hidden="false" customHeight="false" outlineLevel="0" collapsed="false">
      <c r="A11" s="9" t="n">
        <v>8</v>
      </c>
      <c r="B11" s="9" t="s">
        <v>34</v>
      </c>
      <c r="C11" s="9" t="s">
        <v>79</v>
      </c>
      <c r="D11" s="15" t="s">
        <v>32</v>
      </c>
      <c r="E11" s="9" t="s">
        <v>65</v>
      </c>
      <c r="F11" s="10" t="n">
        <v>72</v>
      </c>
      <c r="G11" s="10" t="n">
        <v>72</v>
      </c>
      <c r="H11" s="15" t="s">
        <v>32</v>
      </c>
      <c r="I11" s="9" t="n">
        <v>0</v>
      </c>
      <c r="J11" s="9" t="s">
        <v>66</v>
      </c>
      <c r="K11" s="9" t="s">
        <v>67</v>
      </c>
    </row>
    <row r="12" customFormat="false" ht="15" hidden="false" customHeight="false" outlineLevel="0" collapsed="false">
      <c r="A12" s="9" t="n">
        <v>9</v>
      </c>
      <c r="B12" s="9" t="s">
        <v>31</v>
      </c>
      <c r="C12" s="9" t="s">
        <v>80</v>
      </c>
      <c r="D12" s="15" t="s">
        <v>32</v>
      </c>
      <c r="E12" s="9" t="s">
        <v>65</v>
      </c>
      <c r="F12" s="10" t="n">
        <v>74</v>
      </c>
      <c r="G12" s="10" t="n">
        <v>74</v>
      </c>
      <c r="H12" s="15" t="s">
        <v>32</v>
      </c>
      <c r="I12" s="9" t="n">
        <v>0</v>
      </c>
      <c r="J12" s="9" t="s">
        <v>66</v>
      </c>
      <c r="K12" s="9" t="s">
        <v>67</v>
      </c>
    </row>
    <row r="13" customFormat="false" ht="15" hidden="false" customHeight="false" outlineLevel="0" collapsed="false">
      <c r="A13" s="9" t="n">
        <v>10</v>
      </c>
      <c r="B13" s="9" t="s">
        <v>23</v>
      </c>
      <c r="C13" s="9" t="s">
        <v>81</v>
      </c>
      <c r="D13" s="11" t="s">
        <v>14</v>
      </c>
      <c r="E13" s="9" t="s">
        <v>65</v>
      </c>
      <c r="F13" s="10" t="n">
        <v>79</v>
      </c>
      <c r="G13" s="10" t="n">
        <v>79</v>
      </c>
      <c r="H13" s="11" t="s">
        <v>14</v>
      </c>
      <c r="I13" s="9" t="n">
        <v>750</v>
      </c>
      <c r="J13" s="9" t="s">
        <v>73</v>
      </c>
      <c r="K13" s="9" t="s">
        <v>67</v>
      </c>
    </row>
    <row r="14" customFormat="false" ht="15" hidden="false" customHeight="false" outlineLevel="0" collapsed="false">
      <c r="A14" s="9" t="n">
        <v>11</v>
      </c>
      <c r="B14" s="9" t="s">
        <v>43</v>
      </c>
      <c r="C14" s="9" t="s">
        <v>82</v>
      </c>
      <c r="D14" s="15" t="s">
        <v>32</v>
      </c>
      <c r="E14" s="9" t="s">
        <v>65</v>
      </c>
      <c r="F14" s="10" t="n">
        <v>50</v>
      </c>
      <c r="G14" s="10" t="n">
        <v>50</v>
      </c>
      <c r="H14" s="15" t="s">
        <v>32</v>
      </c>
      <c r="I14" s="9" t="n">
        <v>0</v>
      </c>
      <c r="J14" s="9" t="s">
        <v>83</v>
      </c>
      <c r="K14" s="9" t="s">
        <v>84</v>
      </c>
    </row>
    <row r="15" customFormat="false" ht="15" hidden="false" customHeight="false" outlineLevel="0" collapsed="false">
      <c r="A15" s="9" t="n">
        <v>12</v>
      </c>
      <c r="B15" s="9" t="s">
        <v>42</v>
      </c>
      <c r="C15" s="9" t="s">
        <v>85</v>
      </c>
      <c r="D15" s="15" t="s">
        <v>32</v>
      </c>
      <c r="E15" s="9" t="s">
        <v>65</v>
      </c>
      <c r="F15" s="10" t="n">
        <v>53</v>
      </c>
      <c r="G15" s="10" t="n">
        <v>53</v>
      </c>
      <c r="H15" s="15" t="s">
        <v>32</v>
      </c>
      <c r="I15" s="9" t="n">
        <v>0</v>
      </c>
      <c r="J15" s="9" t="s">
        <v>83</v>
      </c>
      <c r="K15" s="9" t="s">
        <v>84</v>
      </c>
    </row>
    <row r="17" customFormat="false" ht="15" hidden="false" customHeight="false" outlineLevel="0" collapsed="false">
      <c r="A17" s="18" t="s">
        <v>86</v>
      </c>
    </row>
    <row r="18" customFormat="false" ht="16.4" hidden="false" customHeight="false" outlineLevel="0" collapsed="false">
      <c r="A18" s="19" t="s">
        <v>87</v>
      </c>
    </row>
    <row r="19" customFormat="false" ht="16.4" hidden="false" customHeight="false" outlineLevel="0" collapsed="false">
      <c r="A19" s="19" t="s">
        <v>88</v>
      </c>
    </row>
    <row r="20" customFormat="false" ht="16.4" hidden="false" customHeight="false" outlineLevel="0" collapsed="false">
      <c r="A20" s="19" t="s">
        <v>89</v>
      </c>
    </row>
    <row r="21" customFormat="false" ht="16.4" hidden="false" customHeight="false" outlineLevel="0" collapsed="false">
      <c r="A21" s="19" t="s">
        <v>90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22.0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0" t="s">
        <v>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customFormat="false" ht="31.5" hidden="false" customHeight="true" outlineLevel="0" collapsed="false">
      <c r="A4" s="6" t="s">
        <v>93</v>
      </c>
      <c r="B4" s="6" t="s">
        <v>7</v>
      </c>
      <c r="C4" s="6" t="s">
        <v>94</v>
      </c>
      <c r="D4" s="6" t="s">
        <v>95</v>
      </c>
      <c r="E4" s="6" t="s">
        <v>30</v>
      </c>
      <c r="F4" s="6" t="s">
        <v>39</v>
      </c>
      <c r="G4" s="6" t="s">
        <v>21</v>
      </c>
      <c r="H4" s="6" t="s">
        <v>35</v>
      </c>
      <c r="I4" s="6" t="s">
        <v>27</v>
      </c>
      <c r="J4" s="6" t="s">
        <v>41</v>
      </c>
      <c r="K4" s="6" t="s">
        <v>24</v>
      </c>
      <c r="L4" s="6" t="s">
        <v>96</v>
      </c>
      <c r="M4" s="6" t="s">
        <v>97</v>
      </c>
      <c r="N4" s="6" t="s">
        <v>98</v>
      </c>
      <c r="O4" s="6" t="s">
        <v>99</v>
      </c>
      <c r="P4" s="6" t="s">
        <v>100</v>
      </c>
    </row>
    <row r="5" customFormat="false" ht="15" hidden="false" customHeight="false" outlineLevel="0" collapsed="false">
      <c r="A5" s="21" t="s">
        <v>101</v>
      </c>
      <c r="B5" s="21" t="s">
        <v>38</v>
      </c>
      <c r="C5" s="21" t="n">
        <v>38</v>
      </c>
      <c r="D5" s="21" t="n">
        <v>23</v>
      </c>
      <c r="E5" s="21" t="n">
        <v>5</v>
      </c>
      <c r="F5" s="21" t="n">
        <v>0</v>
      </c>
      <c r="G5" s="21" t="n">
        <v>10</v>
      </c>
      <c r="H5" s="21" t="n">
        <v>7</v>
      </c>
      <c r="I5" s="21" t="n">
        <v>8</v>
      </c>
      <c r="J5" s="21" t="n">
        <v>0</v>
      </c>
      <c r="K5" s="21" t="n">
        <v>10</v>
      </c>
      <c r="L5" s="22" t="n">
        <f aca="false">SUM(C5:K5)</f>
        <v>101</v>
      </c>
      <c r="M5" s="21" t="n">
        <v>60</v>
      </c>
      <c r="N5" s="22" t="n">
        <f aca="false">IF(OR(L5=0,M5=""),"",ROUND(AVERAGE(L5,M5),1))</f>
        <v>80.5</v>
      </c>
      <c r="O5" s="21" t="s">
        <v>67</v>
      </c>
      <c r="P5" s="21"/>
    </row>
    <row r="6" customFormat="false" ht="15" hidden="false" customHeight="false" outlineLevel="0" collapsed="false">
      <c r="A6" s="21" t="s">
        <v>102</v>
      </c>
      <c r="B6" s="21" t="s">
        <v>38</v>
      </c>
      <c r="C6" s="21" t="n">
        <v>19</v>
      </c>
      <c r="D6" s="21" t="n">
        <v>37</v>
      </c>
      <c r="E6" s="21" t="n">
        <v>5</v>
      </c>
      <c r="F6" s="21" t="n">
        <v>5</v>
      </c>
      <c r="G6" s="21" t="n">
        <v>10</v>
      </c>
      <c r="H6" s="21" t="n">
        <v>2</v>
      </c>
      <c r="I6" s="21" t="n">
        <v>2</v>
      </c>
      <c r="J6" s="21" t="n">
        <v>0</v>
      </c>
      <c r="K6" s="21" t="n">
        <v>0</v>
      </c>
      <c r="L6" s="22" t="n">
        <f aca="false">SUM(C6:K6)</f>
        <v>80</v>
      </c>
      <c r="M6" s="21" t="n">
        <v>50</v>
      </c>
      <c r="N6" s="22" t="n">
        <f aca="false">IF(OR(L6=0,M6=""),"",ROUND(AVERAGE(L6,M6),1))</f>
        <v>65</v>
      </c>
      <c r="O6" s="21" t="s">
        <v>67</v>
      </c>
      <c r="P6" s="21"/>
    </row>
    <row r="7" customFormat="false" ht="15" hidden="false" customHeight="false" outlineLevel="0" collapsed="false">
      <c r="A7" s="21" t="s">
        <v>103</v>
      </c>
      <c r="B7" s="21" t="s">
        <v>38</v>
      </c>
      <c r="C7" s="21" t="n">
        <v>21</v>
      </c>
      <c r="D7" s="21" t="n">
        <v>21</v>
      </c>
      <c r="E7" s="21" t="n">
        <v>0</v>
      </c>
      <c r="F7" s="21" t="n">
        <v>5</v>
      </c>
      <c r="G7" s="21" t="n">
        <v>5</v>
      </c>
      <c r="H7" s="21" t="n">
        <v>3</v>
      </c>
      <c r="I7" s="21" t="n">
        <v>2</v>
      </c>
      <c r="J7" s="21" t="n">
        <v>5</v>
      </c>
      <c r="K7" s="21" t="n">
        <v>5</v>
      </c>
      <c r="L7" s="22" t="n">
        <f aca="false">SUM(C7:K7)</f>
        <v>67</v>
      </c>
      <c r="M7" s="21" t="n">
        <v>60</v>
      </c>
      <c r="N7" s="22" t="n">
        <f aca="false">IF(OR(L7=0,M7=""),"",ROUND(AVERAGE(L7,M7),1))</f>
        <v>63.5</v>
      </c>
      <c r="O7" s="21" t="s">
        <v>67</v>
      </c>
      <c r="P7" s="21"/>
    </row>
    <row r="8" customFormat="false" ht="15" hidden="false" customHeight="false" outlineLevel="0" collapsed="false">
      <c r="A8" s="21" t="s">
        <v>104</v>
      </c>
      <c r="B8" s="21" t="s">
        <v>38</v>
      </c>
      <c r="C8" s="21" t="n">
        <v>20</v>
      </c>
      <c r="D8" s="21" t="n">
        <v>40</v>
      </c>
      <c r="E8" s="21" t="n">
        <v>5</v>
      </c>
      <c r="F8" s="21" t="n">
        <v>5</v>
      </c>
      <c r="G8" s="21" t="n">
        <v>5</v>
      </c>
      <c r="H8" s="21" t="n">
        <v>1</v>
      </c>
      <c r="I8" s="21" t="n">
        <v>4</v>
      </c>
      <c r="J8" s="21" t="n">
        <v>0</v>
      </c>
      <c r="K8" s="21" t="n">
        <v>10</v>
      </c>
      <c r="L8" s="22" t="n">
        <f aca="false">SUM(C8:K8)</f>
        <v>90</v>
      </c>
      <c r="M8" s="21" t="n">
        <v>40</v>
      </c>
      <c r="N8" s="22" t="n">
        <f aca="false">IF(OR(L8=0,M8=""),"",ROUND(AVERAGE(L8,M8),1))</f>
        <v>65</v>
      </c>
      <c r="O8" s="21" t="s">
        <v>67</v>
      </c>
      <c r="P8" s="21"/>
    </row>
    <row r="9" customFormat="false" ht="15" hidden="false" customHeight="false" outlineLevel="0" collapsed="false">
      <c r="A9" s="21" t="s">
        <v>105</v>
      </c>
      <c r="B9" s="21" t="s">
        <v>38</v>
      </c>
      <c r="C9" s="21" t="n">
        <v>39</v>
      </c>
      <c r="D9" s="21" t="n">
        <v>26</v>
      </c>
      <c r="E9" s="21" t="n">
        <v>0</v>
      </c>
      <c r="F9" s="21" t="n">
        <v>5</v>
      </c>
      <c r="G9" s="21" t="n">
        <v>0</v>
      </c>
      <c r="H9" s="21" t="n">
        <v>2</v>
      </c>
      <c r="I9" s="21" t="n">
        <v>2</v>
      </c>
      <c r="J9" s="21" t="n">
        <v>5</v>
      </c>
      <c r="K9" s="21" t="n">
        <v>0</v>
      </c>
      <c r="L9" s="22" t="n">
        <f aca="false">SUM(C9:K9)</f>
        <v>79</v>
      </c>
      <c r="M9" s="21" t="n">
        <v>40</v>
      </c>
      <c r="N9" s="22" t="n">
        <f aca="false">IF(OR(L9=0,M9=""),"",ROUND(AVERAGE(L9,M9),1))</f>
        <v>59.5</v>
      </c>
      <c r="O9" s="21" t="s">
        <v>67</v>
      </c>
      <c r="P9" s="21"/>
    </row>
    <row r="10" customFormat="false" ht="15" hidden="false" customHeight="false" outlineLevel="0" collapsed="false">
      <c r="A10" s="21" t="s">
        <v>106</v>
      </c>
      <c r="B10" s="21" t="s">
        <v>38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2" t="n">
        <f aca="false">SUM(C10:K10)</f>
        <v>0</v>
      </c>
      <c r="M10" s="21" t="n">
        <v>60</v>
      </c>
      <c r="N10" s="22" t="str">
        <f aca="false">IF(OR(L10=0,M10=""),"",ROUND(AVERAGE(L10,M10),1))</f>
        <v/>
      </c>
      <c r="O10" s="21" t="s">
        <v>67</v>
      </c>
      <c r="P10" s="21"/>
    </row>
    <row r="11" customFormat="false" ht="15" hidden="false" customHeight="false" outlineLevel="0" collapsed="false">
      <c r="A11" s="21" t="s">
        <v>107</v>
      </c>
      <c r="B11" s="21" t="s">
        <v>38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2" t="n">
        <f aca="false">SUM(C11:K11)</f>
        <v>0</v>
      </c>
      <c r="M11" s="21" t="n">
        <v>50</v>
      </c>
      <c r="N11" s="22" t="str">
        <f aca="false">IF(OR(L11=0,M11=""),"",ROUND(AVERAGE(L11,M11),1))</f>
        <v/>
      </c>
      <c r="O11" s="21" t="s">
        <v>67</v>
      </c>
      <c r="P11" s="21"/>
    </row>
    <row r="12" customFormat="false" ht="15" hidden="false" customHeight="false" outlineLevel="0" collapsed="false">
      <c r="A12" s="21" t="s">
        <v>108</v>
      </c>
      <c r="B12" s="21" t="s">
        <v>38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2" t="n">
        <f aca="false">SUM(C12:K12)</f>
        <v>0</v>
      </c>
      <c r="M12" s="21" t="n">
        <v>60</v>
      </c>
      <c r="N12" s="22" t="str">
        <f aca="false">IF(OR(L12=0,M12=""),"",ROUND(AVERAGE(L12,M12),1))</f>
        <v/>
      </c>
      <c r="O12" s="21" t="s">
        <v>67</v>
      </c>
      <c r="P12" s="21"/>
    </row>
    <row r="13" customFormat="false" ht="15" hidden="false" customHeight="false" outlineLevel="0" collapsed="false">
      <c r="A13" s="21" t="s">
        <v>109</v>
      </c>
      <c r="B13" s="21" t="s">
        <v>38</v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2" t="n">
        <f aca="false">SUM(C13:K13)</f>
        <v>0</v>
      </c>
      <c r="M13" s="21" t="n">
        <v>40</v>
      </c>
      <c r="N13" s="22" t="str">
        <f aca="false">IF(OR(L13=0,M13=""),"",ROUND(AVERAGE(L13,M13),1))</f>
        <v/>
      </c>
      <c r="O13" s="21" t="s">
        <v>67</v>
      </c>
      <c r="P13" s="21"/>
    </row>
    <row r="14" customFormat="false" ht="15" hidden="false" customHeight="false" outlineLevel="0" collapsed="false">
      <c r="A14" s="21" t="s">
        <v>110</v>
      </c>
      <c r="B14" s="21" t="s">
        <v>38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2" t="n">
        <f aca="false">SUM(C14:K14)</f>
        <v>0</v>
      </c>
      <c r="M14" s="21" t="n">
        <v>40</v>
      </c>
      <c r="N14" s="22" t="str">
        <f aca="false">IF(OR(L14=0,M14=""),"",ROUND(AVERAGE(L14,M14),1))</f>
        <v/>
      </c>
      <c r="O14" s="21" t="s">
        <v>67</v>
      </c>
      <c r="P14" s="21"/>
    </row>
    <row r="15" customFormat="false" ht="15" hidden="false" customHeight="false" outlineLevel="0" collapsed="false">
      <c r="A15" s="21" t="s">
        <v>101</v>
      </c>
      <c r="B15" s="21" t="s">
        <v>13</v>
      </c>
      <c r="C15" s="21" t="n">
        <v>38</v>
      </c>
      <c r="D15" s="21" t="n">
        <v>28</v>
      </c>
      <c r="E15" s="21" t="n">
        <v>10</v>
      </c>
      <c r="F15" s="21" t="n">
        <v>0</v>
      </c>
      <c r="G15" s="21" t="n">
        <v>10</v>
      </c>
      <c r="H15" s="21" t="n">
        <v>6</v>
      </c>
      <c r="I15" s="21" t="n">
        <v>6</v>
      </c>
      <c r="J15" s="21" t="n">
        <v>0</v>
      </c>
      <c r="K15" s="21" t="n">
        <v>0</v>
      </c>
      <c r="L15" s="22" t="n">
        <f aca="false">SUM(C15:K15)</f>
        <v>98</v>
      </c>
      <c r="M15" s="21" t="n">
        <v>60</v>
      </c>
      <c r="N15" s="22" t="n">
        <f aca="false">IF(OR(L15=0,M15=""),"",ROUND(AVERAGE(L15,M15),1))</f>
        <v>79</v>
      </c>
      <c r="O15" s="21" t="s">
        <v>67</v>
      </c>
      <c r="P15" s="21"/>
    </row>
    <row r="16" customFormat="false" ht="15" hidden="false" customHeight="false" outlineLevel="0" collapsed="false">
      <c r="A16" s="21" t="s">
        <v>102</v>
      </c>
      <c r="B16" s="21" t="s">
        <v>13</v>
      </c>
      <c r="C16" s="21" t="n">
        <v>30</v>
      </c>
      <c r="D16" s="21" t="n">
        <v>28</v>
      </c>
      <c r="E16" s="21" t="n">
        <v>5</v>
      </c>
      <c r="F16" s="21" t="n">
        <v>0</v>
      </c>
      <c r="G16" s="21" t="n">
        <v>0</v>
      </c>
      <c r="H16" s="21" t="n">
        <v>7</v>
      </c>
      <c r="I16" s="21" t="n">
        <v>4</v>
      </c>
      <c r="J16" s="21" t="n">
        <v>10</v>
      </c>
      <c r="K16" s="21" t="n">
        <v>0</v>
      </c>
      <c r="L16" s="22" t="n">
        <f aca="false">SUM(C16:K16)</f>
        <v>84</v>
      </c>
      <c r="M16" s="21" t="n">
        <v>45</v>
      </c>
      <c r="N16" s="22" t="n">
        <f aca="false">IF(OR(L16=0,M16=""),"",ROUND(AVERAGE(L16,M16),1))</f>
        <v>64.5</v>
      </c>
      <c r="O16" s="21" t="s">
        <v>67</v>
      </c>
      <c r="P16" s="21"/>
    </row>
    <row r="17" customFormat="false" ht="15" hidden="false" customHeight="false" outlineLevel="0" collapsed="false">
      <c r="A17" s="21" t="s">
        <v>103</v>
      </c>
      <c r="B17" s="21" t="s">
        <v>13</v>
      </c>
      <c r="C17" s="21" t="n">
        <v>30</v>
      </c>
      <c r="D17" s="21" t="n">
        <v>39</v>
      </c>
      <c r="E17" s="21" t="n">
        <v>10</v>
      </c>
      <c r="F17" s="21" t="n">
        <v>5</v>
      </c>
      <c r="G17" s="21" t="n">
        <v>5</v>
      </c>
      <c r="H17" s="21" t="n">
        <v>7</v>
      </c>
      <c r="I17" s="21" t="n">
        <v>8</v>
      </c>
      <c r="J17" s="21" t="n">
        <v>0</v>
      </c>
      <c r="K17" s="21" t="n">
        <v>10</v>
      </c>
      <c r="L17" s="22" t="n">
        <f aca="false">SUM(C17:K17)</f>
        <v>114</v>
      </c>
      <c r="M17" s="21" t="n">
        <v>60</v>
      </c>
      <c r="N17" s="22" t="n">
        <f aca="false">IF(OR(L17=0,M17=""),"",ROUND(AVERAGE(L17,M17),1))</f>
        <v>87</v>
      </c>
      <c r="O17" s="21" t="s">
        <v>67</v>
      </c>
      <c r="P17" s="21"/>
    </row>
    <row r="18" customFormat="false" ht="15" hidden="false" customHeight="false" outlineLevel="0" collapsed="false">
      <c r="A18" s="21" t="s">
        <v>104</v>
      </c>
      <c r="B18" s="21" t="s">
        <v>13</v>
      </c>
      <c r="C18" s="21" t="n">
        <v>28</v>
      </c>
      <c r="D18" s="21" t="n">
        <v>30</v>
      </c>
      <c r="E18" s="21" t="n">
        <v>10</v>
      </c>
      <c r="F18" s="21" t="n">
        <v>5</v>
      </c>
      <c r="G18" s="21" t="n">
        <v>0</v>
      </c>
      <c r="H18" s="21" t="n">
        <v>7</v>
      </c>
      <c r="I18" s="21" t="n">
        <v>4</v>
      </c>
      <c r="J18" s="21" t="n">
        <v>7</v>
      </c>
      <c r="K18" s="21" t="n">
        <v>5</v>
      </c>
      <c r="L18" s="22" t="n">
        <f aca="false">SUM(C18:K18)</f>
        <v>96</v>
      </c>
      <c r="M18" s="21" t="n">
        <v>55</v>
      </c>
      <c r="N18" s="22" t="n">
        <f aca="false">IF(OR(L18=0,M18=""),"",ROUND(AVERAGE(L18,M18),1))</f>
        <v>75.5</v>
      </c>
      <c r="O18" s="21" t="s">
        <v>67</v>
      </c>
      <c r="P18" s="21"/>
    </row>
    <row r="19" customFormat="false" ht="15" hidden="false" customHeight="false" outlineLevel="0" collapsed="false">
      <c r="A19" s="21" t="s">
        <v>105</v>
      </c>
      <c r="B19" s="21" t="s">
        <v>13</v>
      </c>
      <c r="C19" s="21" t="n">
        <v>39</v>
      </c>
      <c r="D19" s="21" t="n">
        <v>26</v>
      </c>
      <c r="E19" s="21" t="n">
        <v>0</v>
      </c>
      <c r="F19" s="21" t="n">
        <v>5</v>
      </c>
      <c r="G19" s="21" t="n">
        <v>0</v>
      </c>
      <c r="H19" s="21" t="n">
        <v>2</v>
      </c>
      <c r="I19" s="21" t="n">
        <v>2</v>
      </c>
      <c r="J19" s="21" t="n">
        <v>5</v>
      </c>
      <c r="K19" s="21" t="n">
        <v>0</v>
      </c>
      <c r="L19" s="22" t="n">
        <f aca="false">SUM(C19:K19)</f>
        <v>79</v>
      </c>
      <c r="M19" s="21" t="n">
        <v>40</v>
      </c>
      <c r="N19" s="22" t="n">
        <f aca="false">IF(OR(L19=0,M19=""),"",ROUND(AVERAGE(L19,M19),1))</f>
        <v>59.5</v>
      </c>
      <c r="O19" s="21" t="s">
        <v>67</v>
      </c>
      <c r="P19" s="21"/>
    </row>
    <row r="20" customFormat="false" ht="15" hidden="false" customHeight="false" outlineLevel="0" collapsed="false">
      <c r="A20" s="21" t="s">
        <v>106</v>
      </c>
      <c r="B20" s="21" t="s">
        <v>13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2" t="n">
        <f aca="false">SUM(C20:K20)</f>
        <v>0</v>
      </c>
      <c r="M20" s="21" t="n">
        <v>60</v>
      </c>
      <c r="N20" s="22" t="str">
        <f aca="false">IF(OR(L20=0,M20=""),"",ROUND(AVERAGE(L20,M20),1))</f>
        <v/>
      </c>
      <c r="O20" s="21" t="s">
        <v>67</v>
      </c>
      <c r="P20" s="21"/>
    </row>
    <row r="21" customFormat="false" ht="15" hidden="false" customHeight="false" outlineLevel="0" collapsed="false">
      <c r="A21" s="21" t="s">
        <v>107</v>
      </c>
      <c r="B21" s="21" t="s">
        <v>13</v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2" t="n">
        <f aca="false">SUM(C21:K21)</f>
        <v>0</v>
      </c>
      <c r="M21" s="21" t="n">
        <v>45</v>
      </c>
      <c r="N21" s="22" t="str">
        <f aca="false">IF(OR(L21=0,M21=""),"",ROUND(AVERAGE(L21,M21),1))</f>
        <v/>
      </c>
      <c r="O21" s="21" t="s">
        <v>67</v>
      </c>
      <c r="P21" s="21"/>
    </row>
    <row r="22" customFormat="false" ht="15" hidden="false" customHeight="false" outlineLevel="0" collapsed="false">
      <c r="A22" s="21" t="s">
        <v>108</v>
      </c>
      <c r="B22" s="21" t="s">
        <v>13</v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2" t="n">
        <f aca="false">SUM(C22:K22)</f>
        <v>0</v>
      </c>
      <c r="M22" s="21" t="n">
        <v>60</v>
      </c>
      <c r="N22" s="22" t="str">
        <f aca="false">IF(OR(L22=0,M22=""),"",ROUND(AVERAGE(L22,M22),1))</f>
        <v/>
      </c>
      <c r="O22" s="21" t="s">
        <v>67</v>
      </c>
      <c r="P22" s="21"/>
    </row>
    <row r="23" customFormat="false" ht="15" hidden="false" customHeight="false" outlineLevel="0" collapsed="false">
      <c r="A23" s="21" t="s">
        <v>109</v>
      </c>
      <c r="B23" s="21" t="s">
        <v>13</v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2" t="n">
        <f aca="false">SUM(C23:K23)</f>
        <v>0</v>
      </c>
      <c r="M23" s="21" t="n">
        <v>55</v>
      </c>
      <c r="N23" s="22" t="str">
        <f aca="false">IF(OR(L23=0,M23=""),"",ROUND(AVERAGE(L23,M23),1))</f>
        <v/>
      </c>
      <c r="O23" s="21" t="s">
        <v>67</v>
      </c>
      <c r="P23" s="21"/>
    </row>
    <row r="24" customFormat="false" ht="15" hidden="false" customHeight="false" outlineLevel="0" collapsed="false">
      <c r="A24" s="21" t="s">
        <v>110</v>
      </c>
      <c r="B24" s="21" t="s">
        <v>13</v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2" t="n">
        <f aca="false">SUM(C24:K24)</f>
        <v>0</v>
      </c>
      <c r="M24" s="21" t="n">
        <v>40</v>
      </c>
      <c r="N24" s="22" t="str">
        <f aca="false">IF(OR(L24=0,M24=""),"",ROUND(AVERAGE(L24,M24),1))</f>
        <v/>
      </c>
      <c r="O24" s="21" t="s">
        <v>67</v>
      </c>
      <c r="P24" s="21"/>
    </row>
    <row r="25" customFormat="false" ht="15" hidden="false" customHeight="false" outlineLevel="0" collapsed="false">
      <c r="A25" s="21" t="s">
        <v>101</v>
      </c>
      <c r="B25" s="21" t="s">
        <v>20</v>
      </c>
      <c r="C25" s="21" t="n">
        <v>35</v>
      </c>
      <c r="D25" s="21" t="n">
        <v>33</v>
      </c>
      <c r="E25" s="21" t="n">
        <v>10</v>
      </c>
      <c r="F25" s="21" t="n">
        <v>5</v>
      </c>
      <c r="G25" s="21" t="n">
        <v>0</v>
      </c>
      <c r="H25" s="21" t="n">
        <v>7</v>
      </c>
      <c r="I25" s="21" t="n">
        <v>8</v>
      </c>
      <c r="J25" s="21" t="n">
        <v>5</v>
      </c>
      <c r="K25" s="21" t="n">
        <v>10</v>
      </c>
      <c r="L25" s="22" t="n">
        <f aca="false">SUM(C25:K25)</f>
        <v>113</v>
      </c>
      <c r="M25" s="21" t="n">
        <v>60</v>
      </c>
      <c r="N25" s="22" t="n">
        <f aca="false">IF(OR(L25=0,M25=""),"",ROUND(AVERAGE(L25,M25),1))</f>
        <v>86.5</v>
      </c>
      <c r="O25" s="21" t="s">
        <v>67</v>
      </c>
      <c r="P25" s="21"/>
    </row>
    <row r="26" customFormat="false" ht="15" hidden="false" customHeight="false" outlineLevel="0" collapsed="false">
      <c r="A26" s="21" t="s">
        <v>102</v>
      </c>
      <c r="B26" s="21" t="s">
        <v>20</v>
      </c>
      <c r="C26" s="21" t="n">
        <v>40</v>
      </c>
      <c r="D26" s="21" t="n">
        <v>34</v>
      </c>
      <c r="E26" s="21" t="n">
        <v>5</v>
      </c>
      <c r="F26" s="21" t="n">
        <v>5</v>
      </c>
      <c r="G26" s="21" t="n">
        <v>5</v>
      </c>
      <c r="H26" s="21" t="n">
        <v>5</v>
      </c>
      <c r="I26" s="21" t="n">
        <v>6</v>
      </c>
      <c r="J26" s="21" t="n">
        <v>0</v>
      </c>
      <c r="K26" s="21" t="n">
        <v>5</v>
      </c>
      <c r="L26" s="22" t="n">
        <f aca="false">SUM(C26:K26)</f>
        <v>105</v>
      </c>
      <c r="M26" s="21" t="n">
        <v>50</v>
      </c>
      <c r="N26" s="22" t="n">
        <f aca="false">IF(OR(L26=0,M26=""),"",ROUND(AVERAGE(L26,M26),1))</f>
        <v>77.5</v>
      </c>
      <c r="O26" s="21" t="s">
        <v>67</v>
      </c>
      <c r="P26" s="21"/>
    </row>
    <row r="27" customFormat="false" ht="15" hidden="false" customHeight="false" outlineLevel="0" collapsed="false">
      <c r="A27" s="21" t="s">
        <v>103</v>
      </c>
      <c r="B27" s="21" t="s">
        <v>20</v>
      </c>
      <c r="C27" s="21" t="n">
        <v>31</v>
      </c>
      <c r="D27" s="21" t="n">
        <v>26</v>
      </c>
      <c r="E27" s="21" t="n">
        <v>5</v>
      </c>
      <c r="F27" s="21" t="n">
        <v>2.5</v>
      </c>
      <c r="G27" s="21" t="n">
        <v>5</v>
      </c>
      <c r="H27" s="21" t="n">
        <v>7</v>
      </c>
      <c r="I27" s="21" t="n">
        <v>4</v>
      </c>
      <c r="J27" s="21" t="n">
        <v>5</v>
      </c>
      <c r="K27" s="21" t="n">
        <v>7</v>
      </c>
      <c r="L27" s="22" t="n">
        <f aca="false">SUM(C27:K27)</f>
        <v>92.5</v>
      </c>
      <c r="M27" s="21" t="n">
        <v>60</v>
      </c>
      <c r="N27" s="22" t="n">
        <f aca="false">IF(OR(L27=0,M27=""),"",ROUND(AVERAGE(L27,M27),1))</f>
        <v>76.3</v>
      </c>
      <c r="O27" s="21" t="s">
        <v>67</v>
      </c>
      <c r="P27" s="21"/>
    </row>
    <row r="28" customFormat="false" ht="15" hidden="false" customHeight="false" outlineLevel="0" collapsed="false">
      <c r="A28" s="21" t="s">
        <v>104</v>
      </c>
      <c r="B28" s="21" t="s">
        <v>20</v>
      </c>
      <c r="C28" s="21" t="n">
        <v>40</v>
      </c>
      <c r="D28" s="21" t="n">
        <v>31</v>
      </c>
      <c r="E28" s="21" t="n">
        <v>5</v>
      </c>
      <c r="F28" s="21" t="n">
        <v>5</v>
      </c>
      <c r="G28" s="21" t="n">
        <v>0</v>
      </c>
      <c r="H28" s="21" t="n">
        <v>4</v>
      </c>
      <c r="I28" s="21" t="n">
        <v>4</v>
      </c>
      <c r="J28" s="21" t="n">
        <v>0</v>
      </c>
      <c r="K28" s="21" t="n">
        <v>5</v>
      </c>
      <c r="L28" s="22" t="n">
        <f aca="false">SUM(C28:K28)</f>
        <v>94</v>
      </c>
      <c r="M28" s="21" t="n">
        <v>35</v>
      </c>
      <c r="N28" s="22" t="n">
        <f aca="false">IF(OR(L28=0,M28=""),"",ROUND(AVERAGE(L28,M28),1))</f>
        <v>64.5</v>
      </c>
      <c r="O28" s="21" t="s">
        <v>67</v>
      </c>
      <c r="P28" s="21"/>
    </row>
    <row r="29" customFormat="false" ht="15" hidden="false" customHeight="false" outlineLevel="0" collapsed="false">
      <c r="A29" s="21" t="s">
        <v>105</v>
      </c>
      <c r="B29" s="21" t="s">
        <v>20</v>
      </c>
      <c r="C29" s="21" t="n">
        <v>40</v>
      </c>
      <c r="D29" s="21" t="n">
        <v>26</v>
      </c>
      <c r="E29" s="21" t="n">
        <v>10</v>
      </c>
      <c r="F29" s="21" t="n">
        <v>5</v>
      </c>
      <c r="G29" s="21" t="n">
        <v>0</v>
      </c>
      <c r="H29" s="21" t="n">
        <v>7</v>
      </c>
      <c r="I29" s="21" t="n">
        <v>2</v>
      </c>
      <c r="J29" s="21" t="n">
        <v>0</v>
      </c>
      <c r="K29" s="21" t="n">
        <v>0</v>
      </c>
      <c r="L29" s="22" t="n">
        <f aca="false">SUM(C29:K29)</f>
        <v>90</v>
      </c>
      <c r="M29" s="21" t="n">
        <v>50</v>
      </c>
      <c r="N29" s="22" t="n">
        <f aca="false">IF(OR(L29=0,M29=""),"",ROUND(AVERAGE(L29,M29),1))</f>
        <v>70</v>
      </c>
      <c r="O29" s="21" t="s">
        <v>67</v>
      </c>
      <c r="P29" s="21"/>
    </row>
    <row r="30" customFormat="false" ht="15" hidden="false" customHeight="false" outlineLevel="0" collapsed="false">
      <c r="A30" s="21" t="s">
        <v>106</v>
      </c>
      <c r="B30" s="21" t="s">
        <v>20</v>
      </c>
      <c r="C30" s="21" t="n">
        <v>10</v>
      </c>
      <c r="D30" s="21" t="n">
        <v>10</v>
      </c>
      <c r="E30" s="21" t="n">
        <v>10</v>
      </c>
      <c r="F30" s="21" t="n">
        <v>10</v>
      </c>
      <c r="G30" s="21" t="n">
        <v>10</v>
      </c>
      <c r="H30" s="21" t="n">
        <v>10</v>
      </c>
      <c r="I30" s="21" t="n">
        <v>0</v>
      </c>
      <c r="J30" s="21" t="n">
        <v>80</v>
      </c>
      <c r="K30" s="21" t="n">
        <v>0</v>
      </c>
      <c r="L30" s="22" t="n">
        <f aca="false">SUM(C30:K30)</f>
        <v>140</v>
      </c>
      <c r="M30" s="21" t="n">
        <v>60</v>
      </c>
      <c r="N30" s="22" t="n">
        <f aca="false">IF(OR(L30=0,M30=""),"",ROUND(AVERAGE(L30,M30),1))</f>
        <v>100</v>
      </c>
      <c r="O30" s="21" t="s">
        <v>67</v>
      </c>
      <c r="P30" s="21"/>
    </row>
    <row r="31" customFormat="false" ht="15" hidden="false" customHeight="false" outlineLevel="0" collapsed="false">
      <c r="A31" s="21" t="s">
        <v>107</v>
      </c>
      <c r="B31" s="21" t="s">
        <v>20</v>
      </c>
      <c r="C31" s="21" t="n">
        <v>10</v>
      </c>
      <c r="D31" s="21" t="n">
        <v>10</v>
      </c>
      <c r="E31" s="21" t="n">
        <v>10</v>
      </c>
      <c r="F31" s="21" t="n">
        <v>10</v>
      </c>
      <c r="G31" s="21" t="n">
        <v>10</v>
      </c>
      <c r="H31" s="21" t="n">
        <v>10</v>
      </c>
      <c r="I31" s="21" t="n">
        <v>0</v>
      </c>
      <c r="J31" s="21" t="n">
        <v>80</v>
      </c>
      <c r="K31" s="21" t="n">
        <v>0</v>
      </c>
      <c r="L31" s="22" t="n">
        <f aca="false">SUM(C31:K31)</f>
        <v>140</v>
      </c>
      <c r="M31" s="21" t="n">
        <v>60</v>
      </c>
      <c r="N31" s="22" t="n">
        <f aca="false">IF(OR(L31=0,M31=""),"",ROUND(AVERAGE(L31,M31),1))</f>
        <v>100</v>
      </c>
      <c r="O31" s="21" t="s">
        <v>67</v>
      </c>
      <c r="P31" s="21"/>
    </row>
    <row r="32" customFormat="false" ht="15" hidden="false" customHeight="false" outlineLevel="0" collapsed="false">
      <c r="A32" s="21" t="s">
        <v>108</v>
      </c>
      <c r="B32" s="21" t="s">
        <v>20</v>
      </c>
      <c r="C32" s="21" t="n">
        <v>10</v>
      </c>
      <c r="D32" s="21" t="n">
        <v>10</v>
      </c>
      <c r="E32" s="21" t="n">
        <v>10</v>
      </c>
      <c r="F32" s="21" t="n">
        <v>10</v>
      </c>
      <c r="G32" s="21" t="n">
        <v>10</v>
      </c>
      <c r="H32" s="21" t="n">
        <v>10</v>
      </c>
      <c r="I32" s="21" t="n">
        <v>0</v>
      </c>
      <c r="J32" s="21" t="n">
        <v>80</v>
      </c>
      <c r="K32" s="21" t="n">
        <v>0</v>
      </c>
      <c r="L32" s="22" t="n">
        <f aca="false">SUM(C32:K32)</f>
        <v>140</v>
      </c>
      <c r="M32" s="21" t="n">
        <v>60</v>
      </c>
      <c r="N32" s="22" t="n">
        <f aca="false">IF(OR(L32=0,M32=""),"",ROUND(AVERAGE(L32,M32),1))</f>
        <v>100</v>
      </c>
      <c r="O32" s="21" t="s">
        <v>67</v>
      </c>
      <c r="P32" s="21"/>
    </row>
    <row r="33" customFormat="false" ht="15" hidden="false" customHeight="false" outlineLevel="0" collapsed="false">
      <c r="A33" s="21" t="s">
        <v>109</v>
      </c>
      <c r="B33" s="21" t="s">
        <v>20</v>
      </c>
      <c r="C33" s="21" t="n">
        <v>10</v>
      </c>
      <c r="D33" s="21" t="n">
        <v>10</v>
      </c>
      <c r="E33" s="21" t="n">
        <v>10</v>
      </c>
      <c r="F33" s="21" t="n">
        <v>10</v>
      </c>
      <c r="G33" s="21" t="n">
        <v>10</v>
      </c>
      <c r="H33" s="21" t="n">
        <v>10</v>
      </c>
      <c r="I33" s="21" t="n">
        <v>0</v>
      </c>
      <c r="J33" s="21" t="n">
        <v>80</v>
      </c>
      <c r="K33" s="21" t="n">
        <v>0</v>
      </c>
      <c r="L33" s="22" t="n">
        <f aca="false">SUM(C33:K33)</f>
        <v>140</v>
      </c>
      <c r="M33" s="21" t="n">
        <v>60</v>
      </c>
      <c r="N33" s="22" t="n">
        <f aca="false">IF(OR(L33=0,M33=""),"",ROUND(AVERAGE(L33,M33),1))</f>
        <v>100</v>
      </c>
      <c r="O33" s="21" t="s">
        <v>67</v>
      </c>
      <c r="P33" s="21"/>
    </row>
    <row r="34" customFormat="false" ht="15" hidden="false" customHeight="false" outlineLevel="0" collapsed="false">
      <c r="A34" s="21" t="s">
        <v>110</v>
      </c>
      <c r="B34" s="21" t="s">
        <v>20</v>
      </c>
      <c r="C34" s="21" t="n">
        <v>10</v>
      </c>
      <c r="D34" s="21" t="n">
        <v>10</v>
      </c>
      <c r="E34" s="21" t="n">
        <v>10</v>
      </c>
      <c r="F34" s="21" t="n">
        <v>10</v>
      </c>
      <c r="G34" s="21" t="n">
        <v>10</v>
      </c>
      <c r="H34" s="21" t="n">
        <v>10</v>
      </c>
      <c r="I34" s="21" t="n">
        <v>0</v>
      </c>
      <c r="J34" s="21" t="n">
        <v>80</v>
      </c>
      <c r="K34" s="21" t="n">
        <v>0</v>
      </c>
      <c r="L34" s="22" t="n">
        <f aca="false">SUM(C34:K34)</f>
        <v>140</v>
      </c>
      <c r="M34" s="21" t="n">
        <v>60</v>
      </c>
      <c r="N34" s="22" t="n">
        <f aca="false">IF(OR(L34=0,M34=""),"",ROUND(AVERAGE(L34,M34),1))</f>
        <v>100</v>
      </c>
      <c r="O34" s="21" t="s">
        <v>67</v>
      </c>
      <c r="P34" s="21"/>
    </row>
    <row r="35" customFormat="false" ht="15" hidden="false" customHeight="false" outlineLevel="0" collapsed="false">
      <c r="A35" s="21" t="s">
        <v>101</v>
      </c>
      <c r="B35" s="21" t="s">
        <v>26</v>
      </c>
      <c r="C35" s="21" t="n">
        <v>22</v>
      </c>
      <c r="D35" s="21" t="n">
        <v>35</v>
      </c>
      <c r="E35" s="21" t="n">
        <v>5</v>
      </c>
      <c r="F35" s="21" t="n">
        <v>0</v>
      </c>
      <c r="G35" s="21" t="n">
        <v>10</v>
      </c>
      <c r="H35" s="21" t="n">
        <v>5</v>
      </c>
      <c r="I35" s="21" t="n">
        <v>8</v>
      </c>
      <c r="J35" s="21" t="n">
        <v>0</v>
      </c>
      <c r="K35" s="21" t="n">
        <v>10</v>
      </c>
      <c r="L35" s="22" t="n">
        <f aca="false">SUM(C35:K35)</f>
        <v>95</v>
      </c>
      <c r="M35" s="21" t="n">
        <v>60</v>
      </c>
      <c r="N35" s="22" t="n">
        <f aca="false">IF(OR(L35=0,M35=""),"",ROUND(AVERAGE(L35,M35),1))</f>
        <v>77.5</v>
      </c>
      <c r="O35" s="21" t="s">
        <v>67</v>
      </c>
      <c r="P35" s="21"/>
    </row>
    <row r="36" customFormat="false" ht="15" hidden="false" customHeight="false" outlineLevel="0" collapsed="false">
      <c r="A36" s="21" t="s">
        <v>102</v>
      </c>
      <c r="B36" s="21" t="s">
        <v>26</v>
      </c>
      <c r="C36" s="21" t="n">
        <v>37</v>
      </c>
      <c r="D36" s="21" t="n">
        <v>33</v>
      </c>
      <c r="E36" s="21" t="n">
        <v>10</v>
      </c>
      <c r="F36" s="21" t="n">
        <v>0</v>
      </c>
      <c r="G36" s="21" t="n">
        <v>5</v>
      </c>
      <c r="H36" s="21" t="n">
        <v>6</v>
      </c>
      <c r="I36" s="21" t="n">
        <v>8</v>
      </c>
      <c r="J36" s="21" t="n">
        <v>10</v>
      </c>
      <c r="K36" s="21" t="n">
        <v>10</v>
      </c>
      <c r="L36" s="22" t="n">
        <f aca="false">SUM(C36:K36)</f>
        <v>119</v>
      </c>
      <c r="M36" s="21" t="n">
        <v>55</v>
      </c>
      <c r="N36" s="22" t="n">
        <f aca="false">IF(OR(L36=0,M36=""),"",ROUND(AVERAGE(L36,M36),1))</f>
        <v>87</v>
      </c>
      <c r="O36" s="21" t="s">
        <v>67</v>
      </c>
      <c r="P36" s="21"/>
    </row>
    <row r="37" customFormat="false" ht="15" hidden="false" customHeight="false" outlineLevel="0" collapsed="false">
      <c r="A37" s="21" t="s">
        <v>103</v>
      </c>
      <c r="B37" s="21" t="s">
        <v>26</v>
      </c>
      <c r="C37" s="21" t="n">
        <v>40</v>
      </c>
      <c r="D37" s="21" t="n">
        <v>20</v>
      </c>
      <c r="E37" s="21" t="n">
        <v>10</v>
      </c>
      <c r="F37" s="21" t="n">
        <v>5</v>
      </c>
      <c r="G37" s="21" t="n">
        <v>5</v>
      </c>
      <c r="H37" s="21" t="n">
        <v>4</v>
      </c>
      <c r="I37" s="21" t="n">
        <v>8</v>
      </c>
      <c r="J37" s="21" t="n">
        <v>5</v>
      </c>
      <c r="K37" s="21" t="n">
        <v>5</v>
      </c>
      <c r="L37" s="22" t="n">
        <f aca="false">SUM(C37:K37)</f>
        <v>102</v>
      </c>
      <c r="M37" s="21" t="n">
        <v>60</v>
      </c>
      <c r="N37" s="22" t="n">
        <f aca="false">IF(OR(L37=0,M37=""),"",ROUND(AVERAGE(L37,M37),1))</f>
        <v>81</v>
      </c>
      <c r="O37" s="21" t="s">
        <v>67</v>
      </c>
      <c r="P37" s="21"/>
    </row>
    <row r="38" customFormat="false" ht="15" hidden="false" customHeight="false" outlineLevel="0" collapsed="false">
      <c r="A38" s="21" t="s">
        <v>104</v>
      </c>
      <c r="B38" s="21" t="s">
        <v>26</v>
      </c>
      <c r="C38" s="21" t="n">
        <v>28</v>
      </c>
      <c r="D38" s="21" t="n">
        <v>16</v>
      </c>
      <c r="E38" s="21" t="n">
        <v>0</v>
      </c>
      <c r="F38" s="21" t="n">
        <v>5</v>
      </c>
      <c r="G38" s="21" t="n">
        <v>0</v>
      </c>
      <c r="H38" s="21" t="n">
        <v>5</v>
      </c>
      <c r="I38" s="21" t="n">
        <v>6</v>
      </c>
      <c r="J38" s="21" t="n">
        <v>5</v>
      </c>
      <c r="K38" s="21" t="n">
        <v>10</v>
      </c>
      <c r="L38" s="22" t="n">
        <f aca="false">SUM(C38:K38)</f>
        <v>75</v>
      </c>
      <c r="M38" s="21" t="n">
        <v>60</v>
      </c>
      <c r="N38" s="22" t="n">
        <f aca="false">IF(OR(L38=0,M38=""),"",ROUND(AVERAGE(L38,M38),1))</f>
        <v>67.5</v>
      </c>
      <c r="O38" s="21" t="s">
        <v>67</v>
      </c>
      <c r="P38" s="21"/>
    </row>
    <row r="39" customFormat="false" ht="15" hidden="false" customHeight="false" outlineLevel="0" collapsed="false">
      <c r="A39" s="21" t="s">
        <v>105</v>
      </c>
      <c r="B39" s="21" t="s">
        <v>26</v>
      </c>
      <c r="C39" s="21" t="n">
        <v>38</v>
      </c>
      <c r="D39" s="21" t="n">
        <v>21</v>
      </c>
      <c r="E39" s="21" t="n">
        <v>5</v>
      </c>
      <c r="F39" s="21" t="n">
        <v>5</v>
      </c>
      <c r="G39" s="21" t="n">
        <v>0</v>
      </c>
      <c r="H39" s="21" t="n">
        <v>2</v>
      </c>
      <c r="I39" s="21" t="n">
        <v>6</v>
      </c>
      <c r="J39" s="21" t="n">
        <v>0</v>
      </c>
      <c r="K39" s="21" t="n">
        <v>5</v>
      </c>
      <c r="L39" s="22" t="n">
        <f aca="false">SUM(C39:K39)</f>
        <v>82</v>
      </c>
      <c r="M39" s="21" t="n">
        <v>60</v>
      </c>
      <c r="N39" s="22" t="n">
        <f aca="false">IF(OR(L39=0,M39=""),"",ROUND(AVERAGE(L39,M39),1))</f>
        <v>71</v>
      </c>
      <c r="O39" s="21" t="s">
        <v>67</v>
      </c>
      <c r="P39" s="21"/>
    </row>
    <row r="40" customFormat="false" ht="15" hidden="false" customHeight="false" outlineLevel="0" collapsed="false">
      <c r="A40" s="21" t="s">
        <v>106</v>
      </c>
      <c r="B40" s="21" t="s">
        <v>26</v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2" t="n">
        <f aca="false">SUM(C40:K40)</f>
        <v>0</v>
      </c>
      <c r="M40" s="21" t="n">
        <v>60</v>
      </c>
      <c r="N40" s="22" t="str">
        <f aca="false">IF(OR(L40=0,M40=""),"",ROUND(AVERAGE(L40,M40),1))</f>
        <v/>
      </c>
      <c r="O40" s="21" t="s">
        <v>67</v>
      </c>
      <c r="P40" s="21"/>
    </row>
    <row r="41" customFormat="false" ht="15" hidden="false" customHeight="false" outlineLevel="0" collapsed="false">
      <c r="A41" s="21" t="s">
        <v>107</v>
      </c>
      <c r="B41" s="21" t="s">
        <v>26</v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2" t="n">
        <f aca="false">SUM(C41:K41)</f>
        <v>0</v>
      </c>
      <c r="M41" s="21" t="n">
        <v>55</v>
      </c>
      <c r="N41" s="22" t="str">
        <f aca="false">IF(OR(L41=0,M41=""),"",ROUND(AVERAGE(L41,M41),1))</f>
        <v/>
      </c>
      <c r="O41" s="21" t="s">
        <v>67</v>
      </c>
      <c r="P41" s="21"/>
    </row>
    <row r="42" customFormat="false" ht="15" hidden="false" customHeight="false" outlineLevel="0" collapsed="false">
      <c r="A42" s="21" t="s">
        <v>108</v>
      </c>
      <c r="B42" s="21" t="s">
        <v>26</v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2" t="n">
        <f aca="false">SUM(C42:K42)</f>
        <v>0</v>
      </c>
      <c r="M42" s="21" t="n">
        <v>60</v>
      </c>
      <c r="N42" s="22" t="str">
        <f aca="false">IF(OR(L42=0,M42=""),"",ROUND(AVERAGE(L42,M42),1))</f>
        <v/>
      </c>
      <c r="O42" s="21" t="s">
        <v>67</v>
      </c>
      <c r="P42" s="21"/>
    </row>
    <row r="43" customFormat="false" ht="15" hidden="false" customHeight="false" outlineLevel="0" collapsed="false">
      <c r="A43" s="21" t="s">
        <v>109</v>
      </c>
      <c r="B43" s="21" t="s">
        <v>26</v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2" t="n">
        <f aca="false">SUM(C43:K43)</f>
        <v>0</v>
      </c>
      <c r="M43" s="21" t="n">
        <v>60</v>
      </c>
      <c r="N43" s="22" t="str">
        <f aca="false">IF(OR(L43=0,M43=""),"",ROUND(AVERAGE(L43,M43),1))</f>
        <v/>
      </c>
      <c r="O43" s="21" t="s">
        <v>67</v>
      </c>
      <c r="P43" s="21"/>
    </row>
    <row r="44" customFormat="false" ht="15" hidden="false" customHeight="false" outlineLevel="0" collapsed="false">
      <c r="A44" s="21" t="s">
        <v>110</v>
      </c>
      <c r="B44" s="21" t="s">
        <v>26</v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2" t="n">
        <f aca="false">SUM(C44:K44)</f>
        <v>0</v>
      </c>
      <c r="M44" s="21" t="n">
        <v>60</v>
      </c>
      <c r="N44" s="22" t="str">
        <f aca="false">IF(OR(L44=0,M44=""),"",ROUND(AVERAGE(L44,M44),1))</f>
        <v/>
      </c>
      <c r="O44" s="21" t="s">
        <v>67</v>
      </c>
      <c r="P44" s="21"/>
    </row>
    <row r="45" customFormat="false" ht="15" hidden="false" customHeight="false" outlineLevel="0" collapsed="false">
      <c r="A45" s="21" t="s">
        <v>101</v>
      </c>
      <c r="B45" s="21" t="s">
        <v>40</v>
      </c>
      <c r="C45" s="21" t="n">
        <v>23</v>
      </c>
      <c r="D45" s="21" t="n">
        <v>29</v>
      </c>
      <c r="E45" s="21" t="n">
        <v>5</v>
      </c>
      <c r="F45" s="21" t="n">
        <v>0</v>
      </c>
      <c r="G45" s="21" t="n">
        <v>0</v>
      </c>
      <c r="H45" s="21" t="n">
        <v>0</v>
      </c>
      <c r="I45" s="21" t="n">
        <v>8</v>
      </c>
      <c r="J45" s="21" t="n">
        <v>5</v>
      </c>
      <c r="K45" s="21" t="n">
        <v>10</v>
      </c>
      <c r="L45" s="22" t="n">
        <f aca="false">SUM(C45:K45)</f>
        <v>80</v>
      </c>
      <c r="M45" s="21" t="n">
        <v>45</v>
      </c>
      <c r="N45" s="22" t="n">
        <f aca="false">IF(OR(L45=0,M45=""),"",ROUND(AVERAGE(L45,M45),1))</f>
        <v>62.5</v>
      </c>
      <c r="O45" s="21" t="s">
        <v>67</v>
      </c>
      <c r="P45" s="21"/>
    </row>
    <row r="46" customFormat="false" ht="15" hidden="false" customHeight="false" outlineLevel="0" collapsed="false">
      <c r="A46" s="21" t="s">
        <v>102</v>
      </c>
      <c r="B46" s="21" t="s">
        <v>40</v>
      </c>
      <c r="C46" s="21" t="n">
        <v>10</v>
      </c>
      <c r="D46" s="21" t="n">
        <v>33</v>
      </c>
      <c r="E46" s="21" t="n">
        <v>0</v>
      </c>
      <c r="F46" s="21" t="n">
        <v>0</v>
      </c>
      <c r="G46" s="21" t="n">
        <v>5</v>
      </c>
      <c r="H46" s="21" t="n">
        <v>0</v>
      </c>
      <c r="I46" s="21" t="n">
        <v>6</v>
      </c>
      <c r="J46" s="21" t="n">
        <v>0</v>
      </c>
      <c r="K46" s="21" t="n">
        <v>5</v>
      </c>
      <c r="L46" s="22" t="n">
        <f aca="false">SUM(C46:K46)</f>
        <v>59</v>
      </c>
      <c r="M46" s="21" t="n">
        <v>50</v>
      </c>
      <c r="N46" s="22" t="n">
        <f aca="false">IF(OR(L46=0,M46=""),"",ROUND(AVERAGE(L46,M46),1))</f>
        <v>54.5</v>
      </c>
      <c r="O46" s="21" t="s">
        <v>67</v>
      </c>
      <c r="P46" s="21"/>
    </row>
    <row r="47" customFormat="false" ht="15" hidden="false" customHeight="false" outlineLevel="0" collapsed="false">
      <c r="A47" s="21" t="s">
        <v>103</v>
      </c>
      <c r="B47" s="21" t="s">
        <v>40</v>
      </c>
      <c r="C47" s="21" t="n">
        <v>0</v>
      </c>
      <c r="D47" s="21" t="n">
        <v>0</v>
      </c>
      <c r="E47" s="21" t="n">
        <v>0</v>
      </c>
      <c r="F47" s="21" t="n">
        <v>5</v>
      </c>
      <c r="G47" s="21" t="n">
        <v>5</v>
      </c>
      <c r="H47" s="21" t="n">
        <v>2</v>
      </c>
      <c r="I47" s="21" t="n">
        <v>6</v>
      </c>
      <c r="J47" s="21" t="n">
        <v>0</v>
      </c>
      <c r="K47" s="21" t="n">
        <v>5</v>
      </c>
      <c r="L47" s="22" t="n">
        <f aca="false">SUM(C47:K47)</f>
        <v>23</v>
      </c>
      <c r="M47" s="21" t="n">
        <v>60</v>
      </c>
      <c r="N47" s="22" t="n">
        <f aca="false">IF(OR(L47=0,M47=""),"",ROUND(AVERAGE(L47,M47),1))</f>
        <v>41.5</v>
      </c>
      <c r="O47" s="21" t="s">
        <v>67</v>
      </c>
      <c r="P47" s="21"/>
    </row>
    <row r="48" customFormat="false" ht="15" hidden="false" customHeight="false" outlineLevel="0" collapsed="false">
      <c r="A48" s="21" t="s">
        <v>104</v>
      </c>
      <c r="B48" s="21" t="s">
        <v>40</v>
      </c>
      <c r="C48" s="21" t="n">
        <v>22</v>
      </c>
      <c r="D48" s="21" t="n">
        <v>29</v>
      </c>
      <c r="E48" s="21" t="n">
        <v>5</v>
      </c>
      <c r="F48" s="21" t="n">
        <v>0</v>
      </c>
      <c r="G48" s="21" t="n">
        <v>5</v>
      </c>
      <c r="H48" s="21" t="n">
        <v>3</v>
      </c>
      <c r="I48" s="21" t="n">
        <v>6</v>
      </c>
      <c r="J48" s="21" t="n">
        <v>10</v>
      </c>
      <c r="K48" s="21" t="n">
        <v>5</v>
      </c>
      <c r="L48" s="22" t="n">
        <f aca="false">SUM(C48:K48)</f>
        <v>85</v>
      </c>
      <c r="M48" s="21" t="n">
        <v>60</v>
      </c>
      <c r="N48" s="22" t="n">
        <f aca="false">IF(OR(L48=0,M48=""),"",ROUND(AVERAGE(L48,M48),1))</f>
        <v>72.5</v>
      </c>
      <c r="O48" s="21" t="s">
        <v>67</v>
      </c>
      <c r="P48" s="21"/>
    </row>
    <row r="49" customFormat="false" ht="15" hidden="false" customHeight="false" outlineLevel="0" collapsed="false">
      <c r="A49" s="21" t="s">
        <v>105</v>
      </c>
      <c r="B49" s="21" t="s">
        <v>40</v>
      </c>
      <c r="C49" s="21" t="n">
        <v>25</v>
      </c>
      <c r="D49" s="21" t="n">
        <v>26</v>
      </c>
      <c r="E49" s="21" t="n">
        <v>5</v>
      </c>
      <c r="F49" s="21" t="n">
        <v>0</v>
      </c>
      <c r="G49" s="21" t="n">
        <v>0</v>
      </c>
      <c r="H49" s="21" t="n">
        <v>5</v>
      </c>
      <c r="I49" s="21" t="n">
        <v>2</v>
      </c>
      <c r="J49" s="21" t="n">
        <v>0</v>
      </c>
      <c r="K49" s="21" t="n">
        <v>10</v>
      </c>
      <c r="L49" s="22" t="n">
        <f aca="false">SUM(C49:K49)</f>
        <v>73</v>
      </c>
      <c r="M49" s="21" t="n">
        <v>60</v>
      </c>
      <c r="N49" s="22" t="n">
        <f aca="false">IF(OR(L49=0,M49=""),"",ROUND(AVERAGE(L49,M49),1))</f>
        <v>66.5</v>
      </c>
      <c r="O49" s="21" t="s">
        <v>67</v>
      </c>
      <c r="P49" s="21"/>
    </row>
    <row r="50" customFormat="false" ht="15" hidden="false" customHeight="false" outlineLevel="0" collapsed="false">
      <c r="A50" s="21" t="s">
        <v>106</v>
      </c>
      <c r="B50" s="21" t="s">
        <v>40</v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2" t="n">
        <f aca="false">SUM(C50:K50)</f>
        <v>0</v>
      </c>
      <c r="M50" s="21" t="n">
        <v>45</v>
      </c>
      <c r="N50" s="22" t="str">
        <f aca="false">IF(OR(L50=0,M50=""),"",ROUND(AVERAGE(L50,M50),1))</f>
        <v/>
      </c>
      <c r="O50" s="21" t="s">
        <v>67</v>
      </c>
      <c r="P50" s="21"/>
    </row>
    <row r="51" customFormat="false" ht="15" hidden="false" customHeight="false" outlineLevel="0" collapsed="false">
      <c r="A51" s="21" t="s">
        <v>107</v>
      </c>
      <c r="B51" s="21" t="s">
        <v>40</v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2" t="n">
        <f aca="false">SUM(C51:K51)</f>
        <v>0</v>
      </c>
      <c r="M51" s="21" t="n">
        <v>50</v>
      </c>
      <c r="N51" s="22" t="str">
        <f aca="false">IF(OR(L51=0,M51=""),"",ROUND(AVERAGE(L51,M51),1))</f>
        <v/>
      </c>
      <c r="O51" s="21" t="s">
        <v>67</v>
      </c>
      <c r="P51" s="21"/>
    </row>
    <row r="52" customFormat="false" ht="15" hidden="false" customHeight="false" outlineLevel="0" collapsed="false">
      <c r="A52" s="21" t="s">
        <v>108</v>
      </c>
      <c r="B52" s="21" t="s">
        <v>40</v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2" t="n">
        <f aca="false">SUM(C52:K52)</f>
        <v>0</v>
      </c>
      <c r="M52" s="21" t="n">
        <v>60</v>
      </c>
      <c r="N52" s="22" t="str">
        <f aca="false">IF(OR(L52=0,M52=""),"",ROUND(AVERAGE(L52,M52),1))</f>
        <v/>
      </c>
      <c r="O52" s="21" t="s">
        <v>67</v>
      </c>
      <c r="P52" s="21"/>
    </row>
    <row r="53" customFormat="false" ht="15" hidden="false" customHeight="false" outlineLevel="0" collapsed="false">
      <c r="A53" s="21" t="s">
        <v>109</v>
      </c>
      <c r="B53" s="21" t="s">
        <v>40</v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2" t="n">
        <f aca="false">SUM(C53:K53)</f>
        <v>0</v>
      </c>
      <c r="M53" s="21" t="n">
        <v>60</v>
      </c>
      <c r="N53" s="22" t="str">
        <f aca="false">IF(OR(L53=0,M53=""),"",ROUND(AVERAGE(L53,M53),1))</f>
        <v/>
      </c>
      <c r="O53" s="21" t="s">
        <v>67</v>
      </c>
      <c r="P53" s="21"/>
    </row>
    <row r="54" customFormat="false" ht="15" hidden="false" customHeight="false" outlineLevel="0" collapsed="false">
      <c r="A54" s="21" t="s">
        <v>110</v>
      </c>
      <c r="B54" s="21" t="s">
        <v>40</v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2" t="n">
        <f aca="false">SUM(C54:K54)</f>
        <v>0</v>
      </c>
      <c r="M54" s="21" t="n">
        <v>60</v>
      </c>
      <c r="N54" s="22" t="str">
        <f aca="false">IF(OR(L54=0,M54=""),"",ROUND(AVERAGE(L54,M54),1))</f>
        <v/>
      </c>
      <c r="O54" s="21" t="s">
        <v>67</v>
      </c>
      <c r="P54" s="21"/>
    </row>
    <row r="55" customFormat="false" ht="15" hidden="false" customHeight="false" outlineLevel="0" collapsed="false">
      <c r="A55" s="21" t="s">
        <v>101</v>
      </c>
      <c r="B55" s="21" t="s">
        <v>36</v>
      </c>
      <c r="C55" s="21" t="n">
        <v>20</v>
      </c>
      <c r="D55" s="21" t="n">
        <v>20</v>
      </c>
      <c r="E55" s="21" t="n">
        <v>2.5</v>
      </c>
      <c r="F55" s="21" t="n">
        <v>5</v>
      </c>
      <c r="G55" s="21" t="n">
        <v>5</v>
      </c>
      <c r="H55" s="21" t="n">
        <v>3.5</v>
      </c>
      <c r="I55" s="21" t="n">
        <v>4</v>
      </c>
      <c r="J55" s="21" t="n">
        <v>5</v>
      </c>
      <c r="K55" s="21" t="n">
        <v>5</v>
      </c>
      <c r="L55" s="22" t="n">
        <f aca="false">SUM(C55:K55)</f>
        <v>70</v>
      </c>
      <c r="M55" s="21" t="n">
        <v>30</v>
      </c>
      <c r="N55" s="22" t="n">
        <f aca="false">IF(OR(L55=0,M55=""),"",ROUND(AVERAGE(L55,M55),1))</f>
        <v>50</v>
      </c>
      <c r="O55" s="21" t="s">
        <v>67</v>
      </c>
      <c r="P55" s="21"/>
    </row>
    <row r="56" customFormat="false" ht="15" hidden="false" customHeight="false" outlineLevel="0" collapsed="false">
      <c r="A56" s="21" t="s">
        <v>102</v>
      </c>
      <c r="B56" s="21" t="s">
        <v>36</v>
      </c>
      <c r="C56" s="21" t="n">
        <v>28</v>
      </c>
      <c r="D56" s="21" t="n">
        <v>34</v>
      </c>
      <c r="E56" s="21" t="n">
        <v>10</v>
      </c>
      <c r="F56" s="21" t="n">
        <v>5</v>
      </c>
      <c r="G56" s="21" t="n">
        <v>10</v>
      </c>
      <c r="H56" s="21" t="n">
        <v>4</v>
      </c>
      <c r="I56" s="21" t="n">
        <v>8</v>
      </c>
      <c r="J56" s="21" t="n">
        <v>5</v>
      </c>
      <c r="K56" s="21" t="n">
        <v>5</v>
      </c>
      <c r="L56" s="22" t="n">
        <f aca="false">SUM(C56:K56)</f>
        <v>109</v>
      </c>
      <c r="M56" s="21" t="n">
        <v>50</v>
      </c>
      <c r="N56" s="22" t="n">
        <f aca="false">IF(OR(L56=0,M56=""),"",ROUND(AVERAGE(L56,M56),1))</f>
        <v>79.5</v>
      </c>
      <c r="O56" s="21" t="s">
        <v>67</v>
      </c>
      <c r="P56" s="21"/>
    </row>
    <row r="57" customFormat="false" ht="15" hidden="false" customHeight="false" outlineLevel="0" collapsed="false">
      <c r="A57" s="21" t="s">
        <v>103</v>
      </c>
      <c r="B57" s="21" t="s">
        <v>36</v>
      </c>
      <c r="C57" s="21" t="n">
        <v>20</v>
      </c>
      <c r="D57" s="21" t="n">
        <v>20</v>
      </c>
      <c r="E57" s="21" t="n">
        <v>5</v>
      </c>
      <c r="F57" s="21" t="n">
        <v>2.5</v>
      </c>
      <c r="G57" s="21" t="n">
        <v>5</v>
      </c>
      <c r="H57" s="21" t="n">
        <v>3.5</v>
      </c>
      <c r="I57" s="21" t="n">
        <v>4</v>
      </c>
      <c r="J57" s="21" t="n">
        <v>5</v>
      </c>
      <c r="K57" s="21" t="n">
        <v>5</v>
      </c>
      <c r="L57" s="22" t="n">
        <f aca="false">SUM(C57:K57)</f>
        <v>70</v>
      </c>
      <c r="M57" s="21" t="n">
        <v>30</v>
      </c>
      <c r="N57" s="22" t="n">
        <f aca="false">IF(OR(L57=0,M57=""),"",ROUND(AVERAGE(L57,M57),1))</f>
        <v>50</v>
      </c>
      <c r="O57" s="21" t="s">
        <v>67</v>
      </c>
      <c r="P57" s="21"/>
    </row>
    <row r="58" customFormat="false" ht="15" hidden="false" customHeight="false" outlineLevel="0" collapsed="false">
      <c r="A58" s="21" t="s">
        <v>104</v>
      </c>
      <c r="B58" s="21" t="s">
        <v>36</v>
      </c>
      <c r="C58" s="21" t="n">
        <v>35</v>
      </c>
      <c r="D58" s="21" t="n">
        <v>39</v>
      </c>
      <c r="E58" s="21" t="n">
        <v>10</v>
      </c>
      <c r="F58" s="21" t="n">
        <v>0</v>
      </c>
      <c r="G58" s="21" t="n">
        <v>5</v>
      </c>
      <c r="H58" s="21" t="n">
        <v>5</v>
      </c>
      <c r="I58" s="21" t="n">
        <v>8</v>
      </c>
      <c r="J58" s="21" t="n">
        <v>0</v>
      </c>
      <c r="K58" s="21" t="n">
        <v>0</v>
      </c>
      <c r="L58" s="22" t="n">
        <f aca="false">SUM(C58:K58)</f>
        <v>102</v>
      </c>
      <c r="M58" s="21" t="n">
        <v>50</v>
      </c>
      <c r="N58" s="22" t="n">
        <f aca="false">IF(OR(L58=0,M58=""),"",ROUND(AVERAGE(L58,M58),1))</f>
        <v>76</v>
      </c>
      <c r="O58" s="21" t="s">
        <v>67</v>
      </c>
      <c r="P58" s="21"/>
    </row>
    <row r="59" customFormat="false" ht="15" hidden="false" customHeight="false" outlineLevel="0" collapsed="false">
      <c r="A59" s="21" t="s">
        <v>105</v>
      </c>
      <c r="B59" s="21" t="s">
        <v>36</v>
      </c>
      <c r="C59" s="21" t="n">
        <v>37</v>
      </c>
      <c r="D59" s="21" t="n">
        <v>26</v>
      </c>
      <c r="E59" s="21" t="n">
        <v>10</v>
      </c>
      <c r="F59" s="21" t="n">
        <v>0</v>
      </c>
      <c r="G59" s="21" t="n">
        <v>5</v>
      </c>
      <c r="H59" s="21" t="n">
        <v>7</v>
      </c>
      <c r="I59" s="21" t="n">
        <v>4</v>
      </c>
      <c r="J59" s="21" t="n">
        <v>10</v>
      </c>
      <c r="K59" s="21" t="n">
        <v>5</v>
      </c>
      <c r="L59" s="22" t="n">
        <f aca="false">SUM(C59:K59)</f>
        <v>104</v>
      </c>
      <c r="M59" s="21" t="n">
        <v>55</v>
      </c>
      <c r="N59" s="22" t="n">
        <f aca="false">IF(OR(L59=0,M59=""),"",ROUND(AVERAGE(L59,M59),1))</f>
        <v>79.5</v>
      </c>
      <c r="O59" s="21" t="s">
        <v>67</v>
      </c>
      <c r="P59" s="21"/>
    </row>
    <row r="60" customFormat="false" ht="15" hidden="false" customHeight="false" outlineLevel="0" collapsed="false">
      <c r="A60" s="21" t="s">
        <v>106</v>
      </c>
      <c r="B60" s="21" t="s">
        <v>36</v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2" t="n">
        <f aca="false">SUM(C60:K60)</f>
        <v>0</v>
      </c>
      <c r="M60" s="21" t="n">
        <v>30</v>
      </c>
      <c r="N60" s="22" t="str">
        <f aca="false">IF(OR(L60=0,M60=""),"",ROUND(AVERAGE(L60,M60),1))</f>
        <v/>
      </c>
      <c r="O60" s="21" t="s">
        <v>67</v>
      </c>
      <c r="P60" s="21"/>
    </row>
    <row r="61" customFormat="false" ht="15" hidden="false" customHeight="false" outlineLevel="0" collapsed="false">
      <c r="A61" s="21" t="s">
        <v>107</v>
      </c>
      <c r="B61" s="21" t="s">
        <v>36</v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2" t="n">
        <f aca="false">SUM(C61:K61)</f>
        <v>0</v>
      </c>
      <c r="M61" s="21" t="n">
        <v>50</v>
      </c>
      <c r="N61" s="22" t="str">
        <f aca="false">IF(OR(L61=0,M61=""),"",ROUND(AVERAGE(L61,M61),1))</f>
        <v/>
      </c>
      <c r="O61" s="21" t="s">
        <v>67</v>
      </c>
      <c r="P61" s="21"/>
    </row>
    <row r="62" customFormat="false" ht="15" hidden="false" customHeight="false" outlineLevel="0" collapsed="false">
      <c r="A62" s="21" t="s">
        <v>108</v>
      </c>
      <c r="B62" s="21" t="s">
        <v>36</v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2" t="n">
        <f aca="false">SUM(C62:K62)</f>
        <v>0</v>
      </c>
      <c r="M62" s="21" t="n">
        <v>30</v>
      </c>
      <c r="N62" s="22" t="str">
        <f aca="false">IF(OR(L62=0,M62=""),"",ROUND(AVERAGE(L62,M62),1))</f>
        <v/>
      </c>
      <c r="O62" s="21" t="s">
        <v>67</v>
      </c>
      <c r="P62" s="21"/>
    </row>
    <row r="63" customFormat="false" ht="15" hidden="false" customHeight="false" outlineLevel="0" collapsed="false">
      <c r="A63" s="21" t="s">
        <v>109</v>
      </c>
      <c r="B63" s="21" t="s">
        <v>36</v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2" t="n">
        <f aca="false">SUM(C63:K63)</f>
        <v>0</v>
      </c>
      <c r="M63" s="21" t="n">
        <v>50</v>
      </c>
      <c r="N63" s="22" t="str">
        <f aca="false">IF(OR(L63=0,M63=""),"",ROUND(AVERAGE(L63,M63),1))</f>
        <v/>
      </c>
      <c r="O63" s="21" t="s">
        <v>67</v>
      </c>
      <c r="P63" s="21"/>
    </row>
    <row r="64" customFormat="false" ht="15" hidden="false" customHeight="false" outlineLevel="0" collapsed="false">
      <c r="A64" s="21" t="s">
        <v>110</v>
      </c>
      <c r="B64" s="21" t="s">
        <v>36</v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2" t="n">
        <f aca="false">SUM(C64:K64)</f>
        <v>0</v>
      </c>
      <c r="M64" s="21" t="n">
        <v>55</v>
      </c>
      <c r="N64" s="22" t="str">
        <f aca="false">IF(OR(L64=0,M64=""),"",ROUND(AVERAGE(L64,M64),1))</f>
        <v/>
      </c>
      <c r="O64" s="21" t="s">
        <v>67</v>
      </c>
      <c r="P64" s="21"/>
    </row>
    <row r="65" customFormat="false" ht="15" hidden="false" customHeight="false" outlineLevel="0" collapsed="false">
      <c r="A65" s="21" t="s">
        <v>101</v>
      </c>
      <c r="B65" s="21" t="s">
        <v>29</v>
      </c>
      <c r="C65" s="21" t="n">
        <v>20</v>
      </c>
      <c r="D65" s="21" t="n">
        <v>38</v>
      </c>
      <c r="E65" s="21" t="n">
        <v>5</v>
      </c>
      <c r="F65" s="21" t="n">
        <v>5</v>
      </c>
      <c r="G65" s="21" t="n">
        <v>0</v>
      </c>
      <c r="H65" s="21" t="n">
        <v>6</v>
      </c>
      <c r="I65" s="21" t="n">
        <v>6</v>
      </c>
      <c r="J65" s="21" t="n">
        <v>0</v>
      </c>
      <c r="K65" s="21" t="n">
        <v>10</v>
      </c>
      <c r="L65" s="22" t="n">
        <f aca="false">SUM(C65:K65)</f>
        <v>90</v>
      </c>
      <c r="M65" s="21" t="n">
        <v>60</v>
      </c>
      <c r="N65" s="22" t="n">
        <f aca="false">IF(OR(L65=0,M65=""),"",ROUND(AVERAGE(L65,M65),1))</f>
        <v>75</v>
      </c>
      <c r="O65" s="21" t="s">
        <v>67</v>
      </c>
      <c r="P65" s="21"/>
    </row>
    <row r="66" customFormat="false" ht="15" hidden="false" customHeight="false" outlineLevel="0" collapsed="false">
      <c r="A66" s="21" t="s">
        <v>102</v>
      </c>
      <c r="B66" s="21" t="s">
        <v>29</v>
      </c>
      <c r="C66" s="21" t="n">
        <v>35</v>
      </c>
      <c r="D66" s="21" t="n">
        <v>35</v>
      </c>
      <c r="E66" s="21" t="n">
        <v>0</v>
      </c>
      <c r="F66" s="21" t="n">
        <v>5</v>
      </c>
      <c r="G66" s="21" t="n">
        <v>0</v>
      </c>
      <c r="H66" s="21" t="n">
        <v>0</v>
      </c>
      <c r="I66" s="21" t="n">
        <v>2</v>
      </c>
      <c r="J66" s="21" t="n">
        <v>5</v>
      </c>
      <c r="K66" s="21" t="n">
        <v>0</v>
      </c>
      <c r="L66" s="22" t="n">
        <f aca="false">SUM(C66:K66)</f>
        <v>82</v>
      </c>
      <c r="M66" s="21" t="n">
        <v>60</v>
      </c>
      <c r="N66" s="22" t="n">
        <f aca="false">IF(OR(L66=0,M66=""),"",ROUND(AVERAGE(L66,M66),1))</f>
        <v>71</v>
      </c>
      <c r="O66" s="21" t="s">
        <v>67</v>
      </c>
      <c r="P66" s="21"/>
    </row>
    <row r="67" customFormat="false" ht="15" hidden="false" customHeight="false" outlineLevel="0" collapsed="false">
      <c r="A67" s="21" t="s">
        <v>103</v>
      </c>
      <c r="B67" s="21" t="s">
        <v>29</v>
      </c>
      <c r="C67" s="21" t="n">
        <v>22</v>
      </c>
      <c r="D67" s="21" t="n">
        <v>40</v>
      </c>
      <c r="E67" s="21" t="n">
        <v>0</v>
      </c>
      <c r="F67" s="21" t="n">
        <v>0</v>
      </c>
      <c r="G67" s="21" t="n">
        <v>5</v>
      </c>
      <c r="H67" s="21" t="n">
        <v>5</v>
      </c>
      <c r="I67" s="21" t="n">
        <v>8</v>
      </c>
      <c r="J67" s="21" t="n">
        <v>10</v>
      </c>
      <c r="K67" s="21" t="n">
        <v>0</v>
      </c>
      <c r="L67" s="22" t="n">
        <f aca="false">SUM(C67:K67)</f>
        <v>90</v>
      </c>
      <c r="M67" s="21" t="n">
        <v>60</v>
      </c>
      <c r="N67" s="22" t="n">
        <f aca="false">IF(OR(L67=0,M67=""),"",ROUND(AVERAGE(L67,M67),1))</f>
        <v>75</v>
      </c>
      <c r="O67" s="21" t="s">
        <v>67</v>
      </c>
      <c r="P67" s="21"/>
    </row>
    <row r="68" customFormat="false" ht="15" hidden="false" customHeight="false" outlineLevel="0" collapsed="false">
      <c r="A68" s="21" t="s">
        <v>104</v>
      </c>
      <c r="B68" s="21" t="s">
        <v>29</v>
      </c>
      <c r="C68" s="21" t="n">
        <v>40</v>
      </c>
      <c r="D68" s="21" t="n">
        <v>40</v>
      </c>
      <c r="E68" s="21" t="n">
        <v>10</v>
      </c>
      <c r="F68" s="21" t="n">
        <v>0</v>
      </c>
      <c r="G68" s="21" t="n">
        <v>5</v>
      </c>
      <c r="H68" s="21" t="n">
        <v>4</v>
      </c>
      <c r="I68" s="21" t="n">
        <v>0</v>
      </c>
      <c r="J68" s="21" t="n">
        <v>0</v>
      </c>
      <c r="K68" s="21" t="n">
        <v>5</v>
      </c>
      <c r="L68" s="22" t="n">
        <f aca="false">SUM(C68:K68)</f>
        <v>104</v>
      </c>
      <c r="M68" s="21" t="n">
        <v>60</v>
      </c>
      <c r="N68" s="22" t="n">
        <f aca="false">IF(OR(L68=0,M68=""),"",ROUND(AVERAGE(L68,M68),1))</f>
        <v>82</v>
      </c>
      <c r="O68" s="21" t="s">
        <v>67</v>
      </c>
      <c r="P68" s="21"/>
    </row>
    <row r="69" customFormat="false" ht="15" hidden="false" customHeight="false" outlineLevel="0" collapsed="false">
      <c r="A69" s="21" t="s">
        <v>105</v>
      </c>
      <c r="B69" s="21" t="s">
        <v>29</v>
      </c>
      <c r="C69" s="21" t="n">
        <v>34</v>
      </c>
      <c r="D69" s="21" t="n">
        <v>40</v>
      </c>
      <c r="E69" s="21" t="n">
        <v>0</v>
      </c>
      <c r="F69" s="21" t="n">
        <v>5</v>
      </c>
      <c r="G69" s="21" t="n">
        <v>5</v>
      </c>
      <c r="H69" s="21" t="n">
        <v>7</v>
      </c>
      <c r="I69" s="21" t="n">
        <v>5</v>
      </c>
      <c r="J69" s="21" t="n">
        <v>5</v>
      </c>
      <c r="K69" s="21" t="n">
        <v>10</v>
      </c>
      <c r="L69" s="22" t="n">
        <f aca="false">SUM(C69:K69)</f>
        <v>111</v>
      </c>
      <c r="M69" s="21" t="n">
        <v>60</v>
      </c>
      <c r="N69" s="22" t="n">
        <f aca="false">IF(OR(L69=0,M69=""),"",ROUND(AVERAGE(L69,M69),1))</f>
        <v>85.5</v>
      </c>
      <c r="O69" s="21" t="s">
        <v>67</v>
      </c>
      <c r="P69" s="21"/>
    </row>
    <row r="70" customFormat="false" ht="15" hidden="false" customHeight="false" outlineLevel="0" collapsed="false">
      <c r="A70" s="21" t="s">
        <v>106</v>
      </c>
      <c r="B70" s="21" t="s">
        <v>29</v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2" t="n">
        <f aca="false">SUM(C70:K70)</f>
        <v>0</v>
      </c>
      <c r="M70" s="21" t="n">
        <v>60</v>
      </c>
      <c r="N70" s="22" t="str">
        <f aca="false">IF(OR(L70=0,M70=""),"",ROUND(AVERAGE(L70,M70),1))</f>
        <v/>
      </c>
      <c r="O70" s="21" t="s">
        <v>67</v>
      </c>
      <c r="P70" s="21"/>
    </row>
    <row r="71" customFormat="false" ht="15" hidden="false" customHeight="false" outlineLevel="0" collapsed="false">
      <c r="A71" s="21" t="s">
        <v>107</v>
      </c>
      <c r="B71" s="21" t="s">
        <v>29</v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2" t="n">
        <f aca="false">SUM(C71:K71)</f>
        <v>0</v>
      </c>
      <c r="M71" s="21" t="n">
        <v>60</v>
      </c>
      <c r="N71" s="22" t="str">
        <f aca="false">IF(OR(L71=0,M71=""),"",ROUND(AVERAGE(L71,M71),1))</f>
        <v/>
      </c>
      <c r="O71" s="21" t="s">
        <v>67</v>
      </c>
      <c r="P71" s="21"/>
    </row>
    <row r="72" customFormat="false" ht="15" hidden="false" customHeight="false" outlineLevel="0" collapsed="false">
      <c r="A72" s="21" t="s">
        <v>108</v>
      </c>
      <c r="B72" s="21" t="s">
        <v>29</v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2" t="n">
        <f aca="false">SUM(C72:K72)</f>
        <v>0</v>
      </c>
      <c r="M72" s="21" t="n">
        <v>60</v>
      </c>
      <c r="N72" s="22" t="str">
        <f aca="false">IF(OR(L72=0,M72=""),"",ROUND(AVERAGE(L72,M72),1))</f>
        <v/>
      </c>
      <c r="O72" s="21" t="s">
        <v>67</v>
      </c>
      <c r="P72" s="21"/>
    </row>
    <row r="73" customFormat="false" ht="15" hidden="false" customHeight="false" outlineLevel="0" collapsed="false">
      <c r="A73" s="21" t="s">
        <v>109</v>
      </c>
      <c r="B73" s="21" t="s">
        <v>29</v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2" t="n">
        <f aca="false">SUM(C73:K73)</f>
        <v>0</v>
      </c>
      <c r="M73" s="21" t="n">
        <v>60</v>
      </c>
      <c r="N73" s="22" t="str">
        <f aca="false">IF(OR(L73=0,M73=""),"",ROUND(AVERAGE(L73,M73),1))</f>
        <v/>
      </c>
      <c r="O73" s="21" t="s">
        <v>67</v>
      </c>
      <c r="P73" s="21"/>
    </row>
    <row r="74" customFormat="false" ht="15" hidden="false" customHeight="false" outlineLevel="0" collapsed="false">
      <c r="A74" s="21" t="s">
        <v>110</v>
      </c>
      <c r="B74" s="21" t="s">
        <v>29</v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2" t="n">
        <f aca="false">SUM(C74:K74)</f>
        <v>0</v>
      </c>
      <c r="M74" s="21" t="n">
        <v>60</v>
      </c>
      <c r="N74" s="22" t="str">
        <f aca="false">IF(OR(L74=0,M74=""),"",ROUND(AVERAGE(L74,M74),1))</f>
        <v/>
      </c>
      <c r="O74" s="21" t="s">
        <v>67</v>
      </c>
      <c r="P74" s="21"/>
    </row>
    <row r="75" customFormat="false" ht="15" hidden="false" customHeight="false" outlineLevel="0" collapsed="false">
      <c r="A75" s="21" t="s">
        <v>101</v>
      </c>
      <c r="B75" s="21" t="s">
        <v>34</v>
      </c>
      <c r="C75" s="21" t="n">
        <v>38</v>
      </c>
      <c r="D75" s="21" t="n">
        <v>35</v>
      </c>
      <c r="E75" s="21" t="n">
        <v>0</v>
      </c>
      <c r="F75" s="21" t="n">
        <v>5</v>
      </c>
      <c r="G75" s="21" t="n">
        <v>0</v>
      </c>
      <c r="H75" s="21" t="n">
        <v>2</v>
      </c>
      <c r="I75" s="21" t="n">
        <v>6</v>
      </c>
      <c r="J75" s="21" t="n">
        <v>5</v>
      </c>
      <c r="K75" s="21" t="n">
        <v>10</v>
      </c>
      <c r="L75" s="22" t="n">
        <f aca="false">SUM(C75:K75)</f>
        <v>101</v>
      </c>
      <c r="M75" s="21" t="n">
        <v>55</v>
      </c>
      <c r="N75" s="22" t="n">
        <f aca="false">IF(OR(L75=0,M75=""),"",ROUND(AVERAGE(L75,M75),1))</f>
        <v>78</v>
      </c>
      <c r="O75" s="21" t="s">
        <v>67</v>
      </c>
      <c r="P75" s="21"/>
    </row>
    <row r="76" customFormat="false" ht="15" hidden="false" customHeight="false" outlineLevel="0" collapsed="false">
      <c r="A76" s="21" t="s">
        <v>102</v>
      </c>
      <c r="B76" s="21" t="s">
        <v>34</v>
      </c>
      <c r="C76" s="21" t="n">
        <v>20</v>
      </c>
      <c r="D76" s="21" t="n">
        <v>20</v>
      </c>
      <c r="E76" s="21" t="n">
        <v>5</v>
      </c>
      <c r="F76" s="21" t="n">
        <v>2.5</v>
      </c>
      <c r="G76" s="21" t="n">
        <v>5</v>
      </c>
      <c r="H76" s="21" t="n">
        <v>3.5</v>
      </c>
      <c r="I76" s="21" t="n">
        <v>4</v>
      </c>
      <c r="J76" s="21" t="n">
        <v>5</v>
      </c>
      <c r="K76" s="21" t="n">
        <v>5</v>
      </c>
      <c r="L76" s="22" t="n">
        <f aca="false">SUM(C76:K76)</f>
        <v>70</v>
      </c>
      <c r="M76" s="21" t="n">
        <v>30</v>
      </c>
      <c r="N76" s="22" t="n">
        <f aca="false">IF(OR(L76=0,M76=""),"",ROUND(AVERAGE(L76,M76),1))</f>
        <v>50</v>
      </c>
      <c r="O76" s="21" t="s">
        <v>67</v>
      </c>
      <c r="P76" s="21"/>
    </row>
    <row r="77" customFormat="false" ht="15" hidden="false" customHeight="false" outlineLevel="0" collapsed="false">
      <c r="A77" s="21" t="s">
        <v>103</v>
      </c>
      <c r="B77" s="21" t="s">
        <v>34</v>
      </c>
      <c r="C77" s="21" t="n">
        <v>28</v>
      </c>
      <c r="D77" s="21" t="n">
        <v>26</v>
      </c>
      <c r="E77" s="21" t="n">
        <v>10</v>
      </c>
      <c r="F77" s="21" t="n">
        <v>0</v>
      </c>
      <c r="G77" s="21" t="n">
        <v>0</v>
      </c>
      <c r="H77" s="21" t="n">
        <v>0</v>
      </c>
      <c r="I77" s="21" t="n">
        <v>8</v>
      </c>
      <c r="J77" s="21" t="n">
        <v>10</v>
      </c>
      <c r="K77" s="21" t="n">
        <v>0</v>
      </c>
      <c r="L77" s="22" t="n">
        <f aca="false">SUM(C77:K77)</f>
        <v>82</v>
      </c>
      <c r="M77" s="21" t="n">
        <v>60</v>
      </c>
      <c r="N77" s="22" t="n">
        <f aca="false">IF(OR(L77=0,M77=""),"",ROUND(AVERAGE(L77,M77),1))</f>
        <v>71</v>
      </c>
      <c r="O77" s="21" t="s">
        <v>67</v>
      </c>
      <c r="P77" s="21"/>
    </row>
    <row r="78" customFormat="false" ht="15" hidden="false" customHeight="false" outlineLevel="0" collapsed="false">
      <c r="A78" s="21" t="s">
        <v>104</v>
      </c>
      <c r="B78" s="21" t="s">
        <v>34</v>
      </c>
      <c r="C78" s="21" t="n">
        <v>38</v>
      </c>
      <c r="D78" s="21" t="n">
        <v>11</v>
      </c>
      <c r="E78" s="21" t="n">
        <v>0</v>
      </c>
      <c r="F78" s="21" t="n">
        <v>0</v>
      </c>
      <c r="G78" s="21" t="n">
        <v>0</v>
      </c>
      <c r="H78" s="21" t="n">
        <v>3</v>
      </c>
      <c r="I78" s="21" t="n">
        <v>8</v>
      </c>
      <c r="J78" s="21" t="n">
        <v>0</v>
      </c>
      <c r="K78" s="21" t="n">
        <v>10</v>
      </c>
      <c r="L78" s="22" t="n">
        <f aca="false">SUM(C78:K78)</f>
        <v>70</v>
      </c>
      <c r="M78" s="21" t="n">
        <v>40</v>
      </c>
      <c r="N78" s="22" t="n">
        <f aca="false">IF(OR(L78=0,M78=""),"",ROUND(AVERAGE(L78,M78),1))</f>
        <v>55</v>
      </c>
      <c r="O78" s="21" t="s">
        <v>67</v>
      </c>
      <c r="P78" s="21"/>
    </row>
    <row r="79" customFormat="false" ht="15" hidden="false" customHeight="false" outlineLevel="0" collapsed="false">
      <c r="A79" s="21" t="s">
        <v>105</v>
      </c>
      <c r="B79" s="21" t="s">
        <v>34</v>
      </c>
      <c r="C79" s="21" t="n">
        <v>21</v>
      </c>
      <c r="D79" s="21" t="n">
        <v>40</v>
      </c>
      <c r="E79" s="21" t="n">
        <v>5</v>
      </c>
      <c r="F79" s="21" t="n">
        <v>0</v>
      </c>
      <c r="G79" s="21" t="n">
        <v>0</v>
      </c>
      <c r="H79" s="21" t="n">
        <v>3</v>
      </c>
      <c r="I79" s="21" t="n">
        <v>6</v>
      </c>
      <c r="J79" s="21" t="n">
        <v>0</v>
      </c>
      <c r="K79" s="21" t="n">
        <v>10</v>
      </c>
      <c r="L79" s="22" t="n">
        <f aca="false">SUM(C79:K79)</f>
        <v>85</v>
      </c>
      <c r="M79" s="21" t="n">
        <v>55</v>
      </c>
      <c r="N79" s="22" t="n">
        <f aca="false">IF(OR(L79=0,M79=""),"",ROUND(AVERAGE(L79,M79),1))</f>
        <v>70</v>
      </c>
      <c r="O79" s="21" t="s">
        <v>67</v>
      </c>
      <c r="P79" s="21"/>
    </row>
    <row r="80" customFormat="false" ht="15" hidden="false" customHeight="false" outlineLevel="0" collapsed="false">
      <c r="A80" s="21" t="s">
        <v>106</v>
      </c>
      <c r="B80" s="21" t="s">
        <v>34</v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2" t="n">
        <f aca="false">SUM(C80:K80)</f>
        <v>0</v>
      </c>
      <c r="M80" s="21" t="n">
        <v>55</v>
      </c>
      <c r="N80" s="22" t="str">
        <f aca="false">IF(OR(L80=0,M80=""),"",ROUND(AVERAGE(L80,M80),1))</f>
        <v/>
      </c>
      <c r="O80" s="21" t="s">
        <v>67</v>
      </c>
      <c r="P80" s="21"/>
    </row>
    <row r="81" customFormat="false" ht="15" hidden="false" customHeight="false" outlineLevel="0" collapsed="false">
      <c r="A81" s="21" t="s">
        <v>107</v>
      </c>
      <c r="B81" s="21" t="s">
        <v>34</v>
      </c>
      <c r="C81" s="21" t="n">
        <v>0</v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2" t="n">
        <f aca="false">SUM(C81:K81)</f>
        <v>0</v>
      </c>
      <c r="M81" s="21" t="n">
        <v>30</v>
      </c>
      <c r="N81" s="22" t="str">
        <f aca="false">IF(OR(L81=0,M81=""),"",ROUND(AVERAGE(L81,M81),1))</f>
        <v/>
      </c>
      <c r="O81" s="21" t="s">
        <v>67</v>
      </c>
      <c r="P81" s="21"/>
    </row>
    <row r="82" customFormat="false" ht="15" hidden="false" customHeight="false" outlineLevel="0" collapsed="false">
      <c r="A82" s="21" t="s">
        <v>108</v>
      </c>
      <c r="B82" s="21" t="s">
        <v>34</v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2" t="n">
        <f aca="false">SUM(C82:K82)</f>
        <v>0</v>
      </c>
      <c r="M82" s="21" t="n">
        <v>60</v>
      </c>
      <c r="N82" s="22" t="str">
        <f aca="false">IF(OR(L82=0,M82=""),"",ROUND(AVERAGE(L82,M82),1))</f>
        <v/>
      </c>
      <c r="O82" s="21" t="s">
        <v>67</v>
      </c>
      <c r="P82" s="21"/>
    </row>
    <row r="83" customFormat="false" ht="15" hidden="false" customHeight="false" outlineLevel="0" collapsed="false">
      <c r="A83" s="21" t="s">
        <v>109</v>
      </c>
      <c r="B83" s="21" t="s">
        <v>34</v>
      </c>
      <c r="C83" s="21" t="n">
        <v>0</v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2" t="n">
        <f aca="false">SUM(C83:K83)</f>
        <v>0</v>
      </c>
      <c r="M83" s="21" t="n">
        <v>40</v>
      </c>
      <c r="N83" s="22" t="str">
        <f aca="false">IF(OR(L83=0,M83=""),"",ROUND(AVERAGE(L83,M83),1))</f>
        <v/>
      </c>
      <c r="O83" s="21" t="s">
        <v>67</v>
      </c>
      <c r="P83" s="21"/>
    </row>
    <row r="84" customFormat="false" ht="15" hidden="false" customHeight="false" outlineLevel="0" collapsed="false">
      <c r="A84" s="21" t="s">
        <v>110</v>
      </c>
      <c r="B84" s="21" t="s">
        <v>34</v>
      </c>
      <c r="C84" s="21" t="n">
        <v>0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2" t="n">
        <f aca="false">SUM(C84:K84)</f>
        <v>0</v>
      </c>
      <c r="M84" s="21" t="n">
        <v>55</v>
      </c>
      <c r="N84" s="22" t="str">
        <f aca="false">IF(OR(L84=0,M84=""),"",ROUND(AVERAGE(L84,M84),1))</f>
        <v/>
      </c>
      <c r="O84" s="21" t="s">
        <v>67</v>
      </c>
      <c r="P84" s="21"/>
    </row>
    <row r="85" customFormat="false" ht="15" hidden="false" customHeight="false" outlineLevel="0" collapsed="false">
      <c r="A85" s="21" t="s">
        <v>101</v>
      </c>
      <c r="B85" s="21" t="s">
        <v>31</v>
      </c>
      <c r="C85" s="21" t="n">
        <v>39</v>
      </c>
      <c r="D85" s="21" t="n">
        <v>21</v>
      </c>
      <c r="E85" s="21" t="n">
        <v>10</v>
      </c>
      <c r="F85" s="21" t="n">
        <v>0</v>
      </c>
      <c r="G85" s="21" t="n">
        <v>0</v>
      </c>
      <c r="H85" s="21" t="n">
        <v>5</v>
      </c>
      <c r="I85" s="21" t="n">
        <v>8</v>
      </c>
      <c r="J85" s="21" t="n">
        <v>5</v>
      </c>
      <c r="K85" s="21" t="n">
        <v>5</v>
      </c>
      <c r="L85" s="22" t="n">
        <f aca="false">SUM(C85:K85)</f>
        <v>93</v>
      </c>
      <c r="M85" s="21" t="n">
        <v>60</v>
      </c>
      <c r="N85" s="22" t="n">
        <f aca="false">IF(OR(L85=0,M85=""),"",ROUND(AVERAGE(L85,M85),1))</f>
        <v>76.5</v>
      </c>
      <c r="O85" s="21" t="s">
        <v>67</v>
      </c>
      <c r="P85" s="21"/>
    </row>
    <row r="86" customFormat="false" ht="15" hidden="false" customHeight="false" outlineLevel="0" collapsed="false">
      <c r="A86" s="21" t="s">
        <v>102</v>
      </c>
      <c r="B86" s="21" t="s">
        <v>31</v>
      </c>
      <c r="C86" s="21" t="n">
        <v>20</v>
      </c>
      <c r="D86" s="21" t="n">
        <v>20</v>
      </c>
      <c r="E86" s="21" t="n">
        <v>5</v>
      </c>
      <c r="F86" s="21" t="n">
        <v>2.5</v>
      </c>
      <c r="G86" s="21" t="n">
        <v>5</v>
      </c>
      <c r="H86" s="21" t="n">
        <v>3.5</v>
      </c>
      <c r="I86" s="21" t="n">
        <v>4</v>
      </c>
      <c r="J86" s="21" t="n">
        <v>5</v>
      </c>
      <c r="K86" s="21" t="n">
        <v>5</v>
      </c>
      <c r="L86" s="22" t="n">
        <f aca="false">SUM(C86:K86)</f>
        <v>70</v>
      </c>
      <c r="M86" s="21" t="n">
        <v>30</v>
      </c>
      <c r="N86" s="22" t="n">
        <f aca="false">IF(OR(L86=0,M86=""),"",ROUND(AVERAGE(L86,M86),1))</f>
        <v>50</v>
      </c>
      <c r="O86" s="21" t="s">
        <v>67</v>
      </c>
      <c r="P86" s="21"/>
    </row>
    <row r="87" customFormat="false" ht="15" hidden="false" customHeight="false" outlineLevel="0" collapsed="false">
      <c r="A87" s="21" t="s">
        <v>103</v>
      </c>
      <c r="B87" s="21" t="s">
        <v>31</v>
      </c>
      <c r="C87" s="21" t="n">
        <v>20</v>
      </c>
      <c r="D87" s="21" t="n">
        <v>20</v>
      </c>
      <c r="E87" s="21" t="n">
        <v>5</v>
      </c>
      <c r="F87" s="21" t="n">
        <v>2.5</v>
      </c>
      <c r="G87" s="21" t="n">
        <v>5</v>
      </c>
      <c r="H87" s="21" t="n">
        <v>3.5</v>
      </c>
      <c r="I87" s="21" t="n">
        <v>4</v>
      </c>
      <c r="J87" s="21" t="n">
        <v>5</v>
      </c>
      <c r="K87" s="21" t="n">
        <v>5</v>
      </c>
      <c r="L87" s="22" t="n">
        <f aca="false">SUM(C87:K87)</f>
        <v>70</v>
      </c>
      <c r="M87" s="21" t="n">
        <v>30</v>
      </c>
      <c r="N87" s="22" t="n">
        <f aca="false">IF(OR(L87=0,M87=""),"",ROUND(AVERAGE(L87,M87),1))</f>
        <v>50</v>
      </c>
      <c r="O87" s="21" t="s">
        <v>67</v>
      </c>
      <c r="P87" s="21"/>
    </row>
    <row r="88" customFormat="false" ht="15" hidden="false" customHeight="false" outlineLevel="0" collapsed="false">
      <c r="A88" s="21" t="s">
        <v>104</v>
      </c>
      <c r="B88" s="21" t="s">
        <v>31</v>
      </c>
      <c r="C88" s="21" t="n">
        <v>31</v>
      </c>
      <c r="D88" s="21" t="n">
        <v>38</v>
      </c>
      <c r="E88" s="21" t="n">
        <v>5</v>
      </c>
      <c r="F88" s="21" t="n">
        <v>5</v>
      </c>
      <c r="G88" s="21" t="n">
        <v>5</v>
      </c>
      <c r="H88" s="21" t="n">
        <v>5</v>
      </c>
      <c r="I88" s="21" t="n">
        <v>2</v>
      </c>
      <c r="J88" s="21" t="n">
        <v>5</v>
      </c>
      <c r="K88" s="21" t="n">
        <v>5</v>
      </c>
      <c r="L88" s="22" t="n">
        <f aca="false">SUM(C88:K88)</f>
        <v>101</v>
      </c>
      <c r="M88" s="21" t="n">
        <v>50</v>
      </c>
      <c r="N88" s="22" t="n">
        <f aca="false">IF(OR(L88=0,M88=""),"",ROUND(AVERAGE(L88,M88),1))</f>
        <v>75.5</v>
      </c>
      <c r="O88" s="21" t="s">
        <v>67</v>
      </c>
      <c r="P88" s="21"/>
    </row>
    <row r="89" customFormat="false" ht="15" hidden="false" customHeight="false" outlineLevel="0" collapsed="false">
      <c r="A89" s="21" t="s">
        <v>105</v>
      </c>
      <c r="B89" s="21" t="s">
        <v>31</v>
      </c>
      <c r="C89" s="21" t="n">
        <v>30</v>
      </c>
      <c r="D89" s="21" t="n">
        <v>36</v>
      </c>
      <c r="E89" s="21" t="n">
        <v>10</v>
      </c>
      <c r="F89" s="21" t="n">
        <v>0</v>
      </c>
      <c r="G89" s="21" t="n">
        <v>5</v>
      </c>
      <c r="H89" s="21" t="n">
        <v>4</v>
      </c>
      <c r="I89" s="21" t="n">
        <v>2</v>
      </c>
      <c r="J89" s="21" t="n">
        <v>5</v>
      </c>
      <c r="K89" s="21" t="n">
        <v>10</v>
      </c>
      <c r="L89" s="22" t="n">
        <f aca="false">SUM(C89:K89)</f>
        <v>102</v>
      </c>
      <c r="M89" s="21" t="n">
        <v>60</v>
      </c>
      <c r="N89" s="22" t="n">
        <f aca="false">IF(OR(L89=0,M89=""),"",ROUND(AVERAGE(L89,M89),1))</f>
        <v>81</v>
      </c>
      <c r="O89" s="21" t="s">
        <v>67</v>
      </c>
      <c r="P89" s="21"/>
    </row>
    <row r="90" customFormat="false" ht="15" hidden="false" customHeight="false" outlineLevel="0" collapsed="false">
      <c r="A90" s="21" t="s">
        <v>106</v>
      </c>
      <c r="B90" s="21" t="s">
        <v>31</v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2" t="n">
        <f aca="false">SUM(C90:K90)</f>
        <v>0</v>
      </c>
      <c r="M90" s="21" t="n">
        <v>60</v>
      </c>
      <c r="N90" s="22" t="str">
        <f aca="false">IF(OR(L90=0,M90=""),"",ROUND(AVERAGE(L90,M90),1))</f>
        <v/>
      </c>
      <c r="O90" s="21" t="s">
        <v>67</v>
      </c>
      <c r="P90" s="21"/>
    </row>
    <row r="91" customFormat="false" ht="15" hidden="false" customHeight="false" outlineLevel="0" collapsed="false">
      <c r="A91" s="21" t="s">
        <v>107</v>
      </c>
      <c r="B91" s="21" t="s">
        <v>31</v>
      </c>
      <c r="C91" s="21" t="n">
        <v>0</v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2" t="n">
        <f aca="false">SUM(C91:K91)</f>
        <v>0</v>
      </c>
      <c r="M91" s="21" t="n">
        <v>30</v>
      </c>
      <c r="N91" s="22" t="str">
        <f aca="false">IF(OR(L91=0,M91=""),"",ROUND(AVERAGE(L91,M91),1))</f>
        <v/>
      </c>
      <c r="O91" s="21" t="s">
        <v>67</v>
      </c>
      <c r="P91" s="21"/>
    </row>
    <row r="92" customFormat="false" ht="15" hidden="false" customHeight="false" outlineLevel="0" collapsed="false">
      <c r="A92" s="21" t="s">
        <v>108</v>
      </c>
      <c r="B92" s="21" t="s">
        <v>31</v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2" t="n">
        <f aca="false">SUM(C92:K92)</f>
        <v>0</v>
      </c>
      <c r="M92" s="21" t="n">
        <v>30</v>
      </c>
      <c r="N92" s="22" t="str">
        <f aca="false">IF(OR(L92=0,M92=""),"",ROUND(AVERAGE(L92,M92),1))</f>
        <v/>
      </c>
      <c r="O92" s="21" t="s">
        <v>67</v>
      </c>
      <c r="P92" s="21"/>
    </row>
    <row r="93" customFormat="false" ht="15" hidden="false" customHeight="false" outlineLevel="0" collapsed="false">
      <c r="A93" s="21" t="s">
        <v>109</v>
      </c>
      <c r="B93" s="21" t="s">
        <v>31</v>
      </c>
      <c r="C93" s="21" t="n">
        <v>0</v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2" t="n">
        <f aca="false">SUM(C93:K93)</f>
        <v>0</v>
      </c>
      <c r="M93" s="21" t="n">
        <v>50</v>
      </c>
      <c r="N93" s="22" t="str">
        <f aca="false">IF(OR(L93=0,M93=""),"",ROUND(AVERAGE(L93,M93),1))</f>
        <v/>
      </c>
      <c r="O93" s="21" t="s">
        <v>67</v>
      </c>
      <c r="P93" s="21"/>
    </row>
    <row r="94" customFormat="false" ht="15" hidden="false" customHeight="false" outlineLevel="0" collapsed="false">
      <c r="A94" s="21" t="s">
        <v>110</v>
      </c>
      <c r="B94" s="21" t="s">
        <v>31</v>
      </c>
      <c r="C94" s="21" t="n">
        <v>0</v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2" t="n">
        <f aca="false">SUM(C94:K94)</f>
        <v>0</v>
      </c>
      <c r="M94" s="21" t="n">
        <v>60</v>
      </c>
      <c r="N94" s="22" t="str">
        <f aca="false">IF(OR(L94=0,M94=""),"",ROUND(AVERAGE(L94,M94),1))</f>
        <v/>
      </c>
      <c r="O94" s="21" t="s">
        <v>67</v>
      </c>
      <c r="P94" s="21"/>
    </row>
    <row r="95" customFormat="false" ht="15" hidden="false" customHeight="false" outlineLevel="0" collapsed="false">
      <c r="A95" s="21" t="s">
        <v>101</v>
      </c>
      <c r="B95" s="21" t="s">
        <v>23</v>
      </c>
      <c r="C95" s="21" t="n">
        <v>20</v>
      </c>
      <c r="D95" s="21" t="n">
        <v>20</v>
      </c>
      <c r="E95" s="21" t="n">
        <v>5</v>
      </c>
      <c r="F95" s="21" t="n">
        <v>2.5</v>
      </c>
      <c r="G95" s="21" t="n">
        <v>5</v>
      </c>
      <c r="H95" s="21" t="n">
        <v>3.5</v>
      </c>
      <c r="I95" s="21" t="n">
        <v>4</v>
      </c>
      <c r="J95" s="21" t="n">
        <v>5</v>
      </c>
      <c r="K95" s="21" t="n">
        <v>5</v>
      </c>
      <c r="L95" s="22" t="n">
        <f aca="false">SUM(C95:K95)</f>
        <v>70</v>
      </c>
      <c r="M95" s="21" t="n">
        <v>30</v>
      </c>
      <c r="N95" s="22" t="n">
        <f aca="false">IF(OR(L95=0,M95=""),"",ROUND(AVERAGE(L95,M95),1))</f>
        <v>50</v>
      </c>
      <c r="O95" s="21" t="s">
        <v>67</v>
      </c>
      <c r="P95" s="21"/>
    </row>
    <row r="96" customFormat="false" ht="15" hidden="false" customHeight="false" outlineLevel="0" collapsed="false">
      <c r="A96" s="21" t="s">
        <v>102</v>
      </c>
      <c r="B96" s="21" t="s">
        <v>23</v>
      </c>
      <c r="C96" s="21" t="n">
        <v>37</v>
      </c>
      <c r="D96" s="21" t="n">
        <v>38</v>
      </c>
      <c r="E96" s="21" t="n">
        <v>10</v>
      </c>
      <c r="F96" s="21" t="n">
        <v>5</v>
      </c>
      <c r="G96" s="21" t="n">
        <v>5</v>
      </c>
      <c r="H96" s="21" t="n">
        <v>2</v>
      </c>
      <c r="I96" s="21" t="n">
        <v>8</v>
      </c>
      <c r="J96" s="21" t="n">
        <v>5</v>
      </c>
      <c r="K96" s="21" t="n">
        <v>5</v>
      </c>
      <c r="L96" s="22" t="n">
        <f aca="false">SUM(C96:K96)</f>
        <v>115</v>
      </c>
      <c r="M96" s="21" t="n">
        <v>50</v>
      </c>
      <c r="N96" s="22" t="n">
        <f aca="false">IF(OR(L96=0,M96=""),"",ROUND(AVERAGE(L96,M96),1))</f>
        <v>82.5</v>
      </c>
      <c r="O96" s="21" t="s">
        <v>67</v>
      </c>
      <c r="P96" s="21"/>
    </row>
    <row r="97" customFormat="false" ht="15" hidden="false" customHeight="false" outlineLevel="0" collapsed="false">
      <c r="A97" s="21" t="s">
        <v>103</v>
      </c>
      <c r="B97" s="21" t="s">
        <v>23</v>
      </c>
      <c r="C97" s="21" t="n">
        <v>20</v>
      </c>
      <c r="D97" s="21" t="n">
        <v>20</v>
      </c>
      <c r="E97" s="21" t="n">
        <v>5</v>
      </c>
      <c r="F97" s="21" t="n">
        <v>2.5</v>
      </c>
      <c r="G97" s="21" t="n">
        <v>5</v>
      </c>
      <c r="H97" s="21" t="n">
        <v>3.5</v>
      </c>
      <c r="I97" s="21" t="n">
        <v>4</v>
      </c>
      <c r="J97" s="21" t="n">
        <v>5</v>
      </c>
      <c r="K97" s="21" t="n">
        <v>5</v>
      </c>
      <c r="L97" s="22" t="n">
        <f aca="false">SUM(C97:K97)</f>
        <v>70</v>
      </c>
      <c r="M97" s="21" t="n">
        <v>30</v>
      </c>
      <c r="N97" s="22" t="n">
        <f aca="false">IF(OR(L97=0,M97=""),"",ROUND(AVERAGE(L97,M97),1))</f>
        <v>50</v>
      </c>
      <c r="O97" s="21" t="s">
        <v>67</v>
      </c>
      <c r="P97" s="21"/>
    </row>
    <row r="98" customFormat="false" ht="15" hidden="false" customHeight="false" outlineLevel="0" collapsed="false">
      <c r="A98" s="21" t="s">
        <v>104</v>
      </c>
      <c r="B98" s="21" t="s">
        <v>23</v>
      </c>
      <c r="C98" s="21" t="n">
        <v>25</v>
      </c>
      <c r="D98" s="21" t="n">
        <v>23</v>
      </c>
      <c r="E98" s="21" t="n">
        <v>10</v>
      </c>
      <c r="F98" s="21" t="n">
        <v>5</v>
      </c>
      <c r="G98" s="21" t="n">
        <v>10</v>
      </c>
      <c r="H98" s="21" t="n">
        <v>6</v>
      </c>
      <c r="I98" s="21" t="n">
        <v>6</v>
      </c>
      <c r="J98" s="21" t="n">
        <v>8</v>
      </c>
      <c r="K98" s="21" t="n">
        <v>7.5</v>
      </c>
      <c r="L98" s="22" t="n">
        <f aca="false">SUM(C98:K98)</f>
        <v>100.5</v>
      </c>
      <c r="M98" s="21" t="n">
        <v>55</v>
      </c>
      <c r="N98" s="22" t="n">
        <f aca="false">IF(OR(L98=0,M98=""),"",ROUND(AVERAGE(L98,M98),1))</f>
        <v>77.8</v>
      </c>
      <c r="O98" s="21" t="s">
        <v>67</v>
      </c>
      <c r="P98" s="21"/>
    </row>
    <row r="99" customFormat="false" ht="15" hidden="false" customHeight="false" outlineLevel="0" collapsed="false">
      <c r="A99" s="21" t="s">
        <v>105</v>
      </c>
      <c r="B99" s="21" t="s">
        <v>23</v>
      </c>
      <c r="C99" s="21" t="n">
        <v>39</v>
      </c>
      <c r="D99" s="21" t="n">
        <v>18</v>
      </c>
      <c r="E99" s="21" t="n">
        <v>10</v>
      </c>
      <c r="F99" s="21" t="n">
        <v>5</v>
      </c>
      <c r="G99" s="21" t="n">
        <v>10</v>
      </c>
      <c r="H99" s="21" t="n">
        <v>6</v>
      </c>
      <c r="I99" s="21" t="n">
        <v>6</v>
      </c>
      <c r="J99" s="21" t="n">
        <v>10</v>
      </c>
      <c r="K99" s="21" t="n">
        <v>10</v>
      </c>
      <c r="L99" s="22" t="n">
        <f aca="false">SUM(C99:K99)</f>
        <v>114</v>
      </c>
      <c r="M99" s="21" t="n">
        <v>60</v>
      </c>
      <c r="N99" s="22" t="n">
        <f aca="false">IF(OR(L99=0,M99=""),"",ROUND(AVERAGE(L99,M99),1))</f>
        <v>87</v>
      </c>
      <c r="O99" s="21" t="s">
        <v>67</v>
      </c>
      <c r="P99" s="21"/>
    </row>
    <row r="100" customFormat="false" ht="15" hidden="false" customHeight="false" outlineLevel="0" collapsed="false">
      <c r="A100" s="21" t="s">
        <v>106</v>
      </c>
      <c r="B100" s="21" t="s">
        <v>23</v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2" t="n">
        <f aca="false">SUM(C100:K100)</f>
        <v>0</v>
      </c>
      <c r="M100" s="21" t="n">
        <v>30</v>
      </c>
      <c r="N100" s="22" t="str">
        <f aca="false">IF(OR(L100=0,M100=""),"",ROUND(AVERAGE(L100,M100),1))</f>
        <v/>
      </c>
      <c r="O100" s="21" t="s">
        <v>67</v>
      </c>
      <c r="P100" s="21"/>
    </row>
    <row r="101" customFormat="false" ht="15" hidden="false" customHeight="false" outlineLevel="0" collapsed="false">
      <c r="A101" s="21" t="s">
        <v>107</v>
      </c>
      <c r="B101" s="21" t="s">
        <v>23</v>
      </c>
      <c r="C101" s="21" t="n">
        <v>0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2" t="n">
        <f aca="false">SUM(C101:K101)</f>
        <v>0</v>
      </c>
      <c r="M101" s="21" t="n">
        <v>50</v>
      </c>
      <c r="N101" s="22" t="str">
        <f aca="false">IF(OR(L101=0,M101=""),"",ROUND(AVERAGE(L101,M101),1))</f>
        <v/>
      </c>
      <c r="O101" s="21" t="s">
        <v>67</v>
      </c>
      <c r="P101" s="21"/>
    </row>
    <row r="102" customFormat="false" ht="15" hidden="false" customHeight="false" outlineLevel="0" collapsed="false">
      <c r="A102" s="21" t="s">
        <v>108</v>
      </c>
      <c r="B102" s="21" t="s">
        <v>23</v>
      </c>
      <c r="C102" s="21" t="n">
        <v>0</v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2" t="n">
        <f aca="false">SUM(C102:K102)</f>
        <v>0</v>
      </c>
      <c r="M102" s="21" t="n">
        <v>30</v>
      </c>
      <c r="N102" s="22" t="str">
        <f aca="false">IF(OR(L102=0,M102=""),"",ROUND(AVERAGE(L102,M102),1))</f>
        <v/>
      </c>
      <c r="O102" s="21" t="s">
        <v>67</v>
      </c>
      <c r="P102" s="21"/>
    </row>
    <row r="103" customFormat="false" ht="15" hidden="false" customHeight="false" outlineLevel="0" collapsed="false">
      <c r="A103" s="21" t="s">
        <v>109</v>
      </c>
      <c r="B103" s="21" t="s">
        <v>23</v>
      </c>
      <c r="C103" s="21" t="n">
        <v>0</v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2" t="n">
        <f aca="false">SUM(C103:K103)</f>
        <v>0</v>
      </c>
      <c r="M103" s="21" t="n">
        <v>55</v>
      </c>
      <c r="N103" s="22" t="str">
        <f aca="false">IF(OR(L103=0,M103=""),"",ROUND(AVERAGE(L103,M103),1))</f>
        <v/>
      </c>
      <c r="O103" s="21" t="s">
        <v>67</v>
      </c>
      <c r="P103" s="21"/>
    </row>
    <row r="104" customFormat="false" ht="15" hidden="false" customHeight="false" outlineLevel="0" collapsed="false">
      <c r="A104" s="21" t="s">
        <v>110</v>
      </c>
      <c r="B104" s="21" t="s">
        <v>23</v>
      </c>
      <c r="C104" s="21" t="n">
        <v>0</v>
      </c>
      <c r="D104" s="21" t="n">
        <v>0</v>
      </c>
      <c r="E104" s="21" t="n">
        <v>0</v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2" t="n">
        <f aca="false">SUM(C104:K104)</f>
        <v>0</v>
      </c>
      <c r="M104" s="21" t="n">
        <v>60</v>
      </c>
      <c r="N104" s="22" t="str">
        <f aca="false">IF(OR(L104=0,M104=""),"",ROUND(AVERAGE(L104,M104),1))</f>
        <v/>
      </c>
      <c r="O104" s="21" t="s">
        <v>67</v>
      </c>
      <c r="P104" s="21"/>
    </row>
    <row r="105" customFormat="false" ht="15" hidden="false" customHeight="false" outlineLevel="0" collapsed="false">
      <c r="A105" s="21" t="s">
        <v>101</v>
      </c>
      <c r="B105" s="21" t="s">
        <v>42</v>
      </c>
      <c r="C105" s="21" t="n">
        <v>25</v>
      </c>
      <c r="D105" s="21" t="n">
        <v>38</v>
      </c>
      <c r="E105" s="21" t="n">
        <v>5</v>
      </c>
      <c r="F105" s="21" t="n">
        <v>5</v>
      </c>
      <c r="G105" s="21" t="n">
        <v>10</v>
      </c>
      <c r="H105" s="21" t="n">
        <v>7</v>
      </c>
      <c r="I105" s="21" t="n">
        <v>8</v>
      </c>
      <c r="J105" s="21" t="n">
        <v>5</v>
      </c>
      <c r="K105" s="21" t="n">
        <v>10</v>
      </c>
      <c r="L105" s="22" t="n">
        <f aca="false">SUM(C105:K105)</f>
        <v>113</v>
      </c>
      <c r="M105" s="21" t="n">
        <v>45</v>
      </c>
      <c r="N105" s="22" t="n">
        <f aca="false">IF(OR(L105=0,M105=""),"",ROUND(AVERAGE(L105,M105),1))</f>
        <v>79</v>
      </c>
      <c r="O105" s="21" t="s">
        <v>67</v>
      </c>
      <c r="P105" s="21"/>
    </row>
    <row r="106" customFormat="false" ht="15" hidden="false" customHeight="false" outlineLevel="0" collapsed="false">
      <c r="A106" s="21" t="s">
        <v>102</v>
      </c>
      <c r="B106" s="21" t="s">
        <v>42</v>
      </c>
      <c r="C106" s="21" t="n">
        <v>20</v>
      </c>
      <c r="D106" s="21" t="n">
        <v>20</v>
      </c>
      <c r="E106" s="21" t="n">
        <v>5</v>
      </c>
      <c r="F106" s="21" t="n">
        <v>2.5</v>
      </c>
      <c r="G106" s="21" t="n">
        <v>5</v>
      </c>
      <c r="H106" s="21" t="n">
        <v>3.5</v>
      </c>
      <c r="I106" s="21" t="n">
        <v>4</v>
      </c>
      <c r="J106" s="21" t="n">
        <v>5</v>
      </c>
      <c r="K106" s="21" t="n">
        <v>5</v>
      </c>
      <c r="L106" s="22" t="n">
        <f aca="false">SUM(C106:K106)</f>
        <v>70</v>
      </c>
      <c r="M106" s="21" t="n">
        <v>30</v>
      </c>
      <c r="N106" s="22" t="n">
        <f aca="false">IF(OR(L106=0,M106=""),"",ROUND(AVERAGE(L106,M106),1))</f>
        <v>50</v>
      </c>
      <c r="O106" s="21" t="s">
        <v>67</v>
      </c>
      <c r="P106" s="21"/>
    </row>
    <row r="107" customFormat="false" ht="15" hidden="false" customHeight="false" outlineLevel="0" collapsed="false">
      <c r="A107" s="21" t="s">
        <v>103</v>
      </c>
      <c r="B107" s="21" t="s">
        <v>42</v>
      </c>
      <c r="C107" s="21" t="n">
        <v>20</v>
      </c>
      <c r="D107" s="21" t="n">
        <v>20</v>
      </c>
      <c r="E107" s="21" t="n">
        <v>5</v>
      </c>
      <c r="F107" s="21" t="n">
        <v>2.5</v>
      </c>
      <c r="G107" s="21" t="n">
        <v>5</v>
      </c>
      <c r="H107" s="21" t="n">
        <v>3.5</v>
      </c>
      <c r="I107" s="21" t="n">
        <v>4</v>
      </c>
      <c r="J107" s="21" t="n">
        <v>5</v>
      </c>
      <c r="K107" s="21" t="n">
        <v>5</v>
      </c>
      <c r="L107" s="22" t="n">
        <f aca="false">SUM(C107:K107)</f>
        <v>70</v>
      </c>
      <c r="M107" s="21" t="n">
        <v>30</v>
      </c>
      <c r="N107" s="22" t="n">
        <f aca="false">IF(OR(L107=0,M107=""),"",ROUND(AVERAGE(L107,M107),1))</f>
        <v>50</v>
      </c>
      <c r="O107" s="21" t="s">
        <v>67</v>
      </c>
      <c r="P107" s="21"/>
    </row>
    <row r="108" customFormat="false" ht="15" hidden="false" customHeight="false" outlineLevel="0" collapsed="false">
      <c r="A108" s="21" t="s">
        <v>104</v>
      </c>
      <c r="B108" s="21" t="s">
        <v>42</v>
      </c>
      <c r="C108" s="21" t="n">
        <v>20</v>
      </c>
      <c r="D108" s="21" t="n">
        <v>20</v>
      </c>
      <c r="E108" s="21" t="n">
        <v>5</v>
      </c>
      <c r="F108" s="21" t="n">
        <v>2.5</v>
      </c>
      <c r="G108" s="21" t="n">
        <v>5</v>
      </c>
      <c r="H108" s="21" t="n">
        <v>3.5</v>
      </c>
      <c r="I108" s="21" t="n">
        <v>4</v>
      </c>
      <c r="J108" s="21" t="n">
        <v>5</v>
      </c>
      <c r="K108" s="21" t="n">
        <v>5</v>
      </c>
      <c r="L108" s="22" t="n">
        <f aca="false">SUM(C108:K108)</f>
        <v>70</v>
      </c>
      <c r="M108" s="21" t="n">
        <v>30</v>
      </c>
      <c r="N108" s="22" t="n">
        <f aca="false">IF(OR(L108=0,M108=""),"",ROUND(AVERAGE(L108,M108),1))</f>
        <v>50</v>
      </c>
      <c r="O108" s="21" t="s">
        <v>67</v>
      </c>
      <c r="P108" s="21"/>
    </row>
    <row r="109" customFormat="false" ht="15" hidden="false" customHeight="false" outlineLevel="0" collapsed="false">
      <c r="A109" s="21" t="s">
        <v>105</v>
      </c>
      <c r="B109" s="21" t="s">
        <v>42</v>
      </c>
      <c r="C109" s="21" t="n">
        <v>20</v>
      </c>
      <c r="D109" s="21" t="n">
        <v>20</v>
      </c>
      <c r="E109" s="21" t="n">
        <v>5</v>
      </c>
      <c r="F109" s="21" t="n">
        <v>2.5</v>
      </c>
      <c r="G109" s="21" t="n">
        <v>5</v>
      </c>
      <c r="H109" s="21" t="n">
        <v>3.5</v>
      </c>
      <c r="I109" s="21" t="n">
        <v>4</v>
      </c>
      <c r="J109" s="21" t="n">
        <v>5</v>
      </c>
      <c r="K109" s="21" t="n">
        <v>5</v>
      </c>
      <c r="L109" s="22" t="n">
        <f aca="false">SUM(C109:K109)</f>
        <v>70</v>
      </c>
      <c r="M109" s="21" t="n">
        <v>30</v>
      </c>
      <c r="N109" s="22" t="n">
        <f aca="false">IF(OR(L109=0,M109=""),"",ROUND(AVERAGE(L109,M109),1))</f>
        <v>50</v>
      </c>
      <c r="O109" s="21" t="s">
        <v>67</v>
      </c>
      <c r="P109" s="21"/>
    </row>
    <row r="110" customFormat="false" ht="15" hidden="false" customHeight="false" outlineLevel="0" collapsed="false">
      <c r="A110" s="21" t="s">
        <v>106</v>
      </c>
      <c r="B110" s="21" t="s">
        <v>42</v>
      </c>
      <c r="C110" s="21" t="n">
        <v>0</v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2" t="n">
        <f aca="false">SUM(C110:K110)</f>
        <v>0</v>
      </c>
      <c r="M110" s="21" t="n">
        <v>45</v>
      </c>
      <c r="N110" s="22" t="str">
        <f aca="false">IF(OR(L110=0,M110=""),"",ROUND(AVERAGE(L110,M110),1))</f>
        <v/>
      </c>
      <c r="O110" s="21" t="s">
        <v>67</v>
      </c>
      <c r="P110" s="21"/>
    </row>
    <row r="111" customFormat="false" ht="15" hidden="false" customHeight="false" outlineLevel="0" collapsed="false">
      <c r="A111" s="21" t="s">
        <v>107</v>
      </c>
      <c r="B111" s="21" t="s">
        <v>42</v>
      </c>
      <c r="C111" s="21" t="n">
        <v>0</v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2" t="n">
        <f aca="false">SUM(C111:K111)</f>
        <v>0</v>
      </c>
      <c r="M111" s="21" t="n">
        <v>30</v>
      </c>
      <c r="N111" s="22" t="str">
        <f aca="false">IF(OR(L111=0,M111=""),"",ROUND(AVERAGE(L111,M111),1))</f>
        <v/>
      </c>
      <c r="O111" s="21" t="s">
        <v>67</v>
      </c>
      <c r="P111" s="21"/>
    </row>
    <row r="112" customFormat="false" ht="15" hidden="false" customHeight="false" outlineLevel="0" collapsed="false">
      <c r="A112" s="21" t="s">
        <v>108</v>
      </c>
      <c r="B112" s="21" t="s">
        <v>42</v>
      </c>
      <c r="C112" s="21" t="n">
        <v>0</v>
      </c>
      <c r="D112" s="21" t="n">
        <v>0</v>
      </c>
      <c r="E112" s="21" t="n">
        <v>0</v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2" t="n">
        <f aca="false">SUM(C112:K112)</f>
        <v>0</v>
      </c>
      <c r="M112" s="21" t="n">
        <v>30</v>
      </c>
      <c r="N112" s="22" t="str">
        <f aca="false">IF(OR(L112=0,M112=""),"",ROUND(AVERAGE(L112,M112),1))</f>
        <v/>
      </c>
      <c r="O112" s="21" t="s">
        <v>67</v>
      </c>
      <c r="P112" s="21"/>
    </row>
    <row r="113" customFormat="false" ht="15" hidden="false" customHeight="false" outlineLevel="0" collapsed="false">
      <c r="A113" s="21" t="s">
        <v>109</v>
      </c>
      <c r="B113" s="21" t="s">
        <v>42</v>
      </c>
      <c r="C113" s="21" t="n">
        <v>0</v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2" t="n">
        <f aca="false">SUM(C113:K113)</f>
        <v>0</v>
      </c>
      <c r="M113" s="21" t="n">
        <v>30</v>
      </c>
      <c r="N113" s="22" t="str">
        <f aca="false">IF(OR(L113=0,M113=""),"",ROUND(AVERAGE(L113,M113),1))</f>
        <v/>
      </c>
      <c r="O113" s="21" t="s">
        <v>67</v>
      </c>
      <c r="P113" s="21"/>
    </row>
    <row r="114" customFormat="false" ht="15" hidden="false" customHeight="false" outlineLevel="0" collapsed="false">
      <c r="A114" s="21" t="s">
        <v>110</v>
      </c>
      <c r="B114" s="21" t="s">
        <v>42</v>
      </c>
      <c r="C114" s="21" t="n">
        <v>0</v>
      </c>
      <c r="D114" s="21" t="n">
        <v>0</v>
      </c>
      <c r="E114" s="21" t="n">
        <v>0</v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2" t="n">
        <f aca="false">SUM(C114:K114)</f>
        <v>0</v>
      </c>
      <c r="M114" s="21" t="n">
        <v>30</v>
      </c>
      <c r="N114" s="22" t="str">
        <f aca="false">IF(OR(L114=0,M114=""),"",ROUND(AVERAGE(L114,M114),1))</f>
        <v/>
      </c>
      <c r="O114" s="21" t="s">
        <v>67</v>
      </c>
      <c r="P114" s="21"/>
    </row>
    <row r="115" customFormat="false" ht="15" hidden="false" customHeight="false" outlineLevel="0" collapsed="false">
      <c r="A115" s="21" t="s">
        <v>101</v>
      </c>
      <c r="B115" s="21" t="s">
        <v>43</v>
      </c>
      <c r="C115" s="21" t="n">
        <v>0</v>
      </c>
      <c r="D115" s="21" t="n">
        <v>21</v>
      </c>
      <c r="E115" s="21" t="n">
        <v>10</v>
      </c>
      <c r="F115" s="21" t="n">
        <v>0</v>
      </c>
      <c r="G115" s="21" t="n">
        <v>0</v>
      </c>
      <c r="H115" s="21" t="n">
        <v>4</v>
      </c>
      <c r="I115" s="21" t="n">
        <v>6</v>
      </c>
      <c r="J115" s="21" t="n">
        <v>0</v>
      </c>
      <c r="K115" s="21" t="n">
        <v>5</v>
      </c>
      <c r="L115" s="22" t="n">
        <f aca="false">SUM(C115:K115)</f>
        <v>46</v>
      </c>
      <c r="M115" s="21" t="n">
        <v>50</v>
      </c>
      <c r="N115" s="22" t="n">
        <f aca="false">IF(OR(L115=0,M115=""),"",ROUND(AVERAGE(L115,M115),1))</f>
        <v>48</v>
      </c>
      <c r="O115" s="21" t="s">
        <v>67</v>
      </c>
      <c r="P115" s="21"/>
    </row>
    <row r="116" customFormat="false" ht="15" hidden="false" customHeight="false" outlineLevel="0" collapsed="false">
      <c r="A116" s="21" t="s">
        <v>102</v>
      </c>
      <c r="B116" s="21" t="s">
        <v>43</v>
      </c>
      <c r="C116" s="21" t="n">
        <v>20</v>
      </c>
      <c r="D116" s="21" t="n">
        <v>20</v>
      </c>
      <c r="E116" s="21" t="n">
        <v>5</v>
      </c>
      <c r="F116" s="21" t="n">
        <v>2.5</v>
      </c>
      <c r="G116" s="21" t="n">
        <v>5</v>
      </c>
      <c r="H116" s="21" t="n">
        <v>3.5</v>
      </c>
      <c r="I116" s="21" t="n">
        <v>4</v>
      </c>
      <c r="J116" s="21" t="n">
        <v>5</v>
      </c>
      <c r="K116" s="21" t="n">
        <v>5</v>
      </c>
      <c r="L116" s="22" t="n">
        <f aca="false">SUM(C116:K116)</f>
        <v>70</v>
      </c>
      <c r="M116" s="21" t="n">
        <v>30</v>
      </c>
      <c r="N116" s="22" t="n">
        <f aca="false">IF(OR(L116=0,M116=""),"",ROUND(AVERAGE(L116,M116),1))</f>
        <v>50</v>
      </c>
      <c r="O116" s="21" t="s">
        <v>67</v>
      </c>
      <c r="P116" s="21"/>
    </row>
    <row r="117" customFormat="false" ht="15" hidden="false" customHeight="false" outlineLevel="0" collapsed="false">
      <c r="A117" s="21" t="s">
        <v>103</v>
      </c>
      <c r="B117" s="21" t="s">
        <v>43</v>
      </c>
      <c r="C117" s="21" t="n">
        <v>20</v>
      </c>
      <c r="D117" s="21" t="n">
        <v>20</v>
      </c>
      <c r="E117" s="21" t="n">
        <v>5</v>
      </c>
      <c r="F117" s="21" t="n">
        <v>2.5</v>
      </c>
      <c r="G117" s="21" t="n">
        <v>5</v>
      </c>
      <c r="H117" s="21" t="n">
        <v>3.5</v>
      </c>
      <c r="I117" s="21" t="n">
        <v>4</v>
      </c>
      <c r="J117" s="21" t="n">
        <v>5</v>
      </c>
      <c r="K117" s="21" t="n">
        <v>5</v>
      </c>
      <c r="L117" s="22" t="n">
        <f aca="false">SUM(C117:K117)</f>
        <v>70</v>
      </c>
      <c r="M117" s="21" t="n">
        <v>30</v>
      </c>
      <c r="N117" s="22" t="n">
        <f aca="false">IF(OR(L117=0,M117=""),"",ROUND(AVERAGE(L117,M117),1))</f>
        <v>50</v>
      </c>
      <c r="O117" s="21" t="s">
        <v>67</v>
      </c>
      <c r="P117" s="21"/>
    </row>
    <row r="118" customFormat="false" ht="15" hidden="false" customHeight="false" outlineLevel="0" collapsed="false">
      <c r="A118" s="21" t="s">
        <v>104</v>
      </c>
      <c r="B118" s="21" t="s">
        <v>43</v>
      </c>
      <c r="C118" s="21" t="n">
        <v>20</v>
      </c>
      <c r="D118" s="21" t="n">
        <v>20</v>
      </c>
      <c r="E118" s="21" t="n">
        <v>5</v>
      </c>
      <c r="F118" s="21" t="n">
        <v>2.5</v>
      </c>
      <c r="G118" s="21" t="n">
        <v>5</v>
      </c>
      <c r="H118" s="21" t="n">
        <v>3.5</v>
      </c>
      <c r="I118" s="21" t="n">
        <v>4</v>
      </c>
      <c r="J118" s="21" t="n">
        <v>5</v>
      </c>
      <c r="K118" s="21" t="n">
        <v>5</v>
      </c>
      <c r="L118" s="22" t="n">
        <f aca="false">SUM(C118:K118)</f>
        <v>70</v>
      </c>
      <c r="M118" s="21" t="n">
        <v>30</v>
      </c>
      <c r="N118" s="22" t="n">
        <f aca="false">IF(OR(L118=0,M118=""),"",ROUND(AVERAGE(L118,M118),1))</f>
        <v>50</v>
      </c>
      <c r="O118" s="21" t="s">
        <v>67</v>
      </c>
      <c r="P118" s="21"/>
    </row>
    <row r="119" customFormat="false" ht="15" hidden="false" customHeight="false" outlineLevel="0" collapsed="false">
      <c r="A119" s="21" t="s">
        <v>105</v>
      </c>
      <c r="B119" s="21" t="s">
        <v>43</v>
      </c>
      <c r="C119" s="21" t="n">
        <v>20</v>
      </c>
      <c r="D119" s="21" t="n">
        <v>20</v>
      </c>
      <c r="E119" s="21" t="n">
        <v>5</v>
      </c>
      <c r="F119" s="21" t="n">
        <v>2.5</v>
      </c>
      <c r="G119" s="21" t="n">
        <v>5</v>
      </c>
      <c r="H119" s="21" t="n">
        <v>3.5</v>
      </c>
      <c r="I119" s="21" t="n">
        <v>4</v>
      </c>
      <c r="J119" s="21" t="n">
        <v>5</v>
      </c>
      <c r="K119" s="21" t="n">
        <v>5</v>
      </c>
      <c r="L119" s="22" t="n">
        <f aca="false">SUM(C119:K119)</f>
        <v>70</v>
      </c>
      <c r="M119" s="21" t="n">
        <v>30</v>
      </c>
      <c r="N119" s="22" t="n">
        <f aca="false">IF(OR(L119=0,M119=""),"",ROUND(AVERAGE(L119,M119),1))</f>
        <v>50</v>
      </c>
      <c r="O119" s="21" t="s">
        <v>67</v>
      </c>
      <c r="P119" s="21"/>
    </row>
    <row r="120" customFormat="false" ht="15" hidden="false" customHeight="false" outlineLevel="0" collapsed="false">
      <c r="A120" s="21" t="s">
        <v>106</v>
      </c>
      <c r="B120" s="21" t="s">
        <v>43</v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2" t="n">
        <f aca="false">SUM(C120:K120)</f>
        <v>0</v>
      </c>
      <c r="M120" s="21" t="n">
        <v>50</v>
      </c>
      <c r="N120" s="22" t="str">
        <f aca="false">IF(OR(L120=0,M120=""),"",ROUND(AVERAGE(L120,M120),1))</f>
        <v/>
      </c>
      <c r="O120" s="21" t="s">
        <v>67</v>
      </c>
      <c r="P120" s="21"/>
    </row>
    <row r="121" customFormat="false" ht="15" hidden="false" customHeight="false" outlineLevel="0" collapsed="false">
      <c r="A121" s="21" t="s">
        <v>107</v>
      </c>
      <c r="B121" s="21" t="s">
        <v>43</v>
      </c>
      <c r="C121" s="21" t="n">
        <v>0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2" t="n">
        <f aca="false">SUM(C121:K121)</f>
        <v>0</v>
      </c>
      <c r="M121" s="21" t="n">
        <v>30</v>
      </c>
      <c r="N121" s="22" t="str">
        <f aca="false">IF(OR(L121=0,M121=""),"",ROUND(AVERAGE(L121,M121),1))</f>
        <v/>
      </c>
      <c r="O121" s="21" t="s">
        <v>67</v>
      </c>
      <c r="P121" s="21"/>
    </row>
    <row r="122" customFormat="false" ht="15" hidden="false" customHeight="false" outlineLevel="0" collapsed="false">
      <c r="A122" s="21" t="s">
        <v>108</v>
      </c>
      <c r="B122" s="21" t="s">
        <v>43</v>
      </c>
      <c r="C122" s="21" t="n">
        <v>0</v>
      </c>
      <c r="D122" s="21" t="n">
        <v>0</v>
      </c>
      <c r="E122" s="21" t="n">
        <v>0</v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2" t="n">
        <f aca="false">SUM(C122:K122)</f>
        <v>0</v>
      </c>
      <c r="M122" s="21" t="n">
        <v>30</v>
      </c>
      <c r="N122" s="22" t="str">
        <f aca="false">IF(OR(L122=0,M122=""),"",ROUND(AVERAGE(L122,M122),1))</f>
        <v/>
      </c>
      <c r="O122" s="21" t="s">
        <v>67</v>
      </c>
      <c r="P122" s="21"/>
    </row>
    <row r="123" customFormat="false" ht="15" hidden="false" customHeight="false" outlineLevel="0" collapsed="false">
      <c r="A123" s="21" t="s">
        <v>109</v>
      </c>
      <c r="B123" s="21" t="s">
        <v>43</v>
      </c>
      <c r="C123" s="21" t="n">
        <v>0</v>
      </c>
      <c r="D123" s="21" t="n">
        <v>0</v>
      </c>
      <c r="E123" s="21" t="n">
        <v>0</v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2" t="n">
        <f aca="false">SUM(C123:K123)</f>
        <v>0</v>
      </c>
      <c r="M123" s="21" t="n">
        <v>30</v>
      </c>
      <c r="N123" s="22" t="str">
        <f aca="false">IF(OR(L123=0,M123=""),"",ROUND(AVERAGE(L123,M123),1))</f>
        <v/>
      </c>
      <c r="O123" s="21" t="s">
        <v>67</v>
      </c>
      <c r="P123" s="21"/>
    </row>
    <row r="124" customFormat="false" ht="15" hidden="false" customHeight="false" outlineLevel="0" collapsed="false">
      <c r="A124" s="21" t="s">
        <v>110</v>
      </c>
      <c r="B124" s="21" t="s">
        <v>43</v>
      </c>
      <c r="C124" s="21" t="n">
        <v>0</v>
      </c>
      <c r="D124" s="21" t="n">
        <v>0</v>
      </c>
      <c r="E124" s="21" t="n">
        <v>0</v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2" t="n">
        <f aca="false">SUM(C124:K124)</f>
        <v>0</v>
      </c>
      <c r="M124" s="21" t="n">
        <v>30</v>
      </c>
      <c r="N124" s="22" t="str">
        <f aca="false">IF(OR(L124=0,M124=""),"",ROUND(AVERAGE(L124,M124),1))</f>
        <v/>
      </c>
      <c r="O124" s="21" t="s">
        <v>67</v>
      </c>
      <c r="P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 t="str">
        <f aca="false">IF(COUNTA(C125:K125)=0,"",SUM(C125:K125))</f>
        <v/>
      </c>
      <c r="M125" s="21"/>
      <c r="N125" s="22" t="str">
        <f aca="false">IF(OR(L125="",M125=""),"",ROUND(AVERAGE(L125,M125),1))</f>
        <v/>
      </c>
      <c r="O125" s="21"/>
      <c r="P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 t="str">
        <f aca="false">IF(COUNTA(C126:K126)=0,"",SUM(C126:K126))</f>
        <v/>
      </c>
      <c r="M126" s="21"/>
      <c r="N126" s="22" t="str">
        <f aca="false">IF(OR(L126="",M126=""),"",ROUND(AVERAGE(L126,M126),1))</f>
        <v/>
      </c>
      <c r="O126" s="21"/>
      <c r="P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 t="str">
        <f aca="false">IF(COUNTA(C127:K127)=0,"",SUM(C127:K127))</f>
        <v/>
      </c>
      <c r="M127" s="21"/>
      <c r="N127" s="22" t="str">
        <f aca="false">IF(OR(L127="",M127=""),"",ROUND(AVERAGE(L127,M127),1))</f>
        <v/>
      </c>
      <c r="O127" s="21"/>
      <c r="P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 t="str">
        <f aca="false">IF(COUNTA(C128:K128)=0,"",SUM(C128:K128))</f>
        <v/>
      </c>
      <c r="M128" s="21"/>
      <c r="N128" s="22" t="str">
        <f aca="false">IF(OR(L128="",M128=""),"",ROUND(AVERAGE(L128,M128),1))</f>
        <v/>
      </c>
      <c r="O128" s="21"/>
      <c r="P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 t="str">
        <f aca="false">IF(COUNTA(C129:K129)=0,"",SUM(C129:K129))</f>
        <v/>
      </c>
      <c r="M129" s="21"/>
      <c r="N129" s="22" t="str">
        <f aca="false">IF(OR(L129="",M129=""),"",ROUND(AVERAGE(L129,M129),1))</f>
        <v/>
      </c>
      <c r="O129" s="21"/>
      <c r="P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 t="str">
        <f aca="false">IF(COUNTA(C130:K130)=0,"",SUM(C130:K130))</f>
        <v/>
      </c>
      <c r="M130" s="21"/>
      <c r="N130" s="22" t="str">
        <f aca="false">IF(OR(L130="",M130=""),"",ROUND(AVERAGE(L130,M130),1))</f>
        <v/>
      </c>
      <c r="O130" s="21"/>
      <c r="P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 t="str">
        <f aca="false">IF(COUNTA(C131:K131)=0,"",SUM(C131:K131))</f>
        <v/>
      </c>
      <c r="M131" s="21"/>
      <c r="N131" s="22" t="str">
        <f aca="false">IF(OR(L131="",M131=""),"",ROUND(AVERAGE(L131,M131),1))</f>
        <v/>
      </c>
      <c r="O131" s="21"/>
      <c r="P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 t="str">
        <f aca="false">IF(COUNTA(C132:K132)=0,"",SUM(C132:K132))</f>
        <v/>
      </c>
      <c r="M132" s="21"/>
      <c r="N132" s="22" t="str">
        <f aca="false">IF(OR(L132="",M132=""),"",ROUND(AVERAGE(L132,M132),1))</f>
        <v/>
      </c>
      <c r="O132" s="21"/>
      <c r="P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 t="str">
        <f aca="false">IF(COUNTA(C133:K133)=0,"",SUM(C133:K133))</f>
        <v/>
      </c>
      <c r="M133" s="21"/>
      <c r="N133" s="22" t="str">
        <f aca="false">IF(OR(L133="",M133=""),"",ROUND(AVERAGE(L133,M133),1))</f>
        <v/>
      </c>
      <c r="O133" s="21"/>
      <c r="P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 t="str">
        <f aca="false">IF(COUNTA(C134:K134)=0,"",SUM(C134:K134))</f>
        <v/>
      </c>
      <c r="M134" s="21"/>
      <c r="N134" s="22" t="str">
        <f aca="false">IF(OR(L134="",M134=""),"",ROUND(AVERAGE(L134,M134),1))</f>
        <v/>
      </c>
      <c r="O134" s="21"/>
      <c r="P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 t="str">
        <f aca="false">IF(COUNTA(C135:K135)=0,"",SUM(C135:K135))</f>
        <v/>
      </c>
      <c r="M135" s="21"/>
      <c r="N135" s="22" t="str">
        <f aca="false">IF(OR(L135="",M135=""),"",ROUND(AVERAGE(L135,M135),1))</f>
        <v/>
      </c>
      <c r="O135" s="21"/>
      <c r="P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 t="str">
        <f aca="false">IF(COUNTA(C136:K136)=0,"",SUM(C136:K136))</f>
        <v/>
      </c>
      <c r="M136" s="21"/>
      <c r="N136" s="22" t="str">
        <f aca="false">IF(OR(L136="",M136=""),"",ROUND(AVERAGE(L136,M136),1))</f>
        <v/>
      </c>
      <c r="O136" s="21"/>
      <c r="P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 t="str">
        <f aca="false">IF(COUNTA(C137:K137)=0,"",SUM(C137:K137))</f>
        <v/>
      </c>
      <c r="M137" s="21"/>
      <c r="N137" s="22" t="str">
        <f aca="false">IF(OR(L137="",M137=""),"",ROUND(AVERAGE(L137,M137),1))</f>
        <v/>
      </c>
      <c r="O137" s="21"/>
      <c r="P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 t="str">
        <f aca="false">IF(COUNTA(C138:K138)=0,"",SUM(C138:K138))</f>
        <v/>
      </c>
      <c r="M138" s="21"/>
      <c r="N138" s="22" t="str">
        <f aca="false">IF(OR(L138="",M138=""),"",ROUND(AVERAGE(L138,M138),1))</f>
        <v/>
      </c>
      <c r="O138" s="21"/>
      <c r="P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 t="str">
        <f aca="false">IF(COUNTA(C139:K139)=0,"",SUM(C139:K139))</f>
        <v/>
      </c>
      <c r="M139" s="21"/>
      <c r="N139" s="22" t="str">
        <f aca="false">IF(OR(L139="",M139=""),"",ROUND(AVERAGE(L139,M139),1))</f>
        <v/>
      </c>
      <c r="O139" s="21"/>
      <c r="P139" s="21"/>
    </row>
    <row r="141" customFormat="false" ht="15" hidden="false" customHeight="false" outlineLevel="0" collapsed="false">
      <c r="A141" s="23" t="s">
        <v>111</v>
      </c>
    </row>
  </sheetData>
  <mergeCells count="2">
    <mergeCell ref="A1:P1"/>
    <mergeCell ref="A2:P2"/>
  </mergeCells>
  <dataValidations count="2">
    <dataValidation allowBlank="true" errorStyle="stop" operator="between" showDropDown="false" showErrorMessage="false" showInputMessage="false" sqref="B5:B139" type="list">
      <formula1>"محمد طه زارعیان,محمد طه میرشکار,سیدمحمدطه حسینی,ابوالفضل دهقانیزاده,محمدمهدی زارعیان,بهنام بیک,محمد امین زارع,سیدمصطفی طباطبایی‌نسب,ابوالفضل پورصباغ,بهزاد بیک,محمدرضا زارع بیدکی,سیدعلی حسینی‌مهر"</formula1>
      <formula2>0</formula2>
    </dataValidation>
    <dataValidation allowBlank="true" errorStyle="stop" operator="between" showDropDown="false" showErrorMessage="false" showInputMessage="false" sqref="O5:O139" type="list">
      <formula1>"حاضر,غیبت موجه,غیبت غیرموجه"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20"/>
  </cols>
  <sheetData>
    <row r="1" customFormat="false" ht="22.05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4" t="s">
        <v>113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customFormat="false" ht="34.5" hidden="false" customHeight="true" outlineLevel="0" collapsed="false">
      <c r="A4" s="6" t="s">
        <v>53</v>
      </c>
      <c r="B4" s="6" t="s">
        <v>7</v>
      </c>
      <c r="C4" s="6" t="s">
        <v>114</v>
      </c>
      <c r="D4" s="6" t="s">
        <v>115</v>
      </c>
      <c r="E4" s="6" t="s">
        <v>116</v>
      </c>
      <c r="F4" s="6" t="s">
        <v>117</v>
      </c>
      <c r="G4" s="6" t="s">
        <v>118</v>
      </c>
      <c r="H4" s="6" t="s">
        <v>119</v>
      </c>
      <c r="I4" s="6" t="s">
        <v>9</v>
      </c>
      <c r="J4" s="6" t="s">
        <v>61</v>
      </c>
      <c r="K4" s="6" t="s">
        <v>120</v>
      </c>
      <c r="L4" s="6" t="s">
        <v>121</v>
      </c>
    </row>
    <row r="5" customFormat="false" ht="15" hidden="false" customHeight="false" outlineLevel="0" collapsed="false">
      <c r="A5" s="12" t="n">
        <v>1</v>
      </c>
      <c r="B5" s="12" t="s">
        <v>38</v>
      </c>
      <c r="C5" s="25" t="n">
        <v>67</v>
      </c>
      <c r="D5" s="25" t="n">
        <v>50</v>
      </c>
      <c r="E5" s="25" t="n">
        <v>27.75</v>
      </c>
      <c r="F5" s="25" t="n">
        <v>39.5</v>
      </c>
      <c r="G5" s="25" t="n">
        <v>67.25</v>
      </c>
      <c r="H5" s="25" t="n">
        <v>67</v>
      </c>
      <c r="I5" s="26" t="s">
        <v>32</v>
      </c>
      <c r="J5" s="12" t="n">
        <v>500</v>
      </c>
      <c r="K5" s="12" t="s">
        <v>66</v>
      </c>
      <c r="L5" s="12" t="s">
        <v>122</v>
      </c>
    </row>
    <row r="6" customFormat="false" ht="15" hidden="false" customHeight="false" outlineLevel="0" collapsed="false">
      <c r="A6" s="12" t="n">
        <v>2</v>
      </c>
      <c r="B6" s="12" t="s">
        <v>13</v>
      </c>
      <c r="C6" s="25" t="n">
        <v>73</v>
      </c>
      <c r="D6" s="25" t="n">
        <v>52</v>
      </c>
      <c r="E6" s="25" t="n">
        <v>37</v>
      </c>
      <c r="F6" s="25" t="n">
        <v>47.5</v>
      </c>
      <c r="G6" s="25" t="n">
        <v>84.5</v>
      </c>
      <c r="H6" s="25" t="n">
        <v>79</v>
      </c>
      <c r="I6" s="27" t="s">
        <v>14</v>
      </c>
      <c r="J6" s="12" t="n">
        <v>0</v>
      </c>
      <c r="K6" s="12" t="s">
        <v>69</v>
      </c>
      <c r="L6" s="12" t="s">
        <v>123</v>
      </c>
    </row>
    <row r="7" customFormat="false" ht="15" hidden="false" customHeight="false" outlineLevel="0" collapsed="false">
      <c r="A7" s="12" t="n">
        <v>3</v>
      </c>
      <c r="B7" s="12" t="s">
        <v>20</v>
      </c>
      <c r="C7" s="25" t="n">
        <v>75</v>
      </c>
      <c r="D7" s="25" t="n">
        <v>51</v>
      </c>
      <c r="E7" s="25" t="n">
        <v>38</v>
      </c>
      <c r="F7" s="25" t="n">
        <v>45</v>
      </c>
      <c r="G7" s="25" t="n">
        <v>83</v>
      </c>
      <c r="H7" s="25" t="n">
        <v>79</v>
      </c>
      <c r="I7" s="27" t="s">
        <v>14</v>
      </c>
      <c r="J7" s="12" t="n">
        <v>0</v>
      </c>
      <c r="K7" s="12" t="s">
        <v>71</v>
      </c>
      <c r="L7" s="12" t="s">
        <v>123</v>
      </c>
    </row>
    <row r="8" customFormat="false" ht="15" hidden="false" customHeight="false" outlineLevel="0" collapsed="false">
      <c r="A8" s="12" t="n">
        <v>4</v>
      </c>
      <c r="B8" s="12" t="s">
        <v>26</v>
      </c>
      <c r="C8" s="25" t="n">
        <v>77</v>
      </c>
      <c r="D8" s="25" t="n">
        <v>59</v>
      </c>
      <c r="E8" s="25" t="n">
        <v>34</v>
      </c>
      <c r="F8" s="25" t="n">
        <v>44</v>
      </c>
      <c r="G8" s="25" t="n">
        <v>78</v>
      </c>
      <c r="H8" s="25" t="n">
        <v>77.5</v>
      </c>
      <c r="I8" s="27" t="s">
        <v>14</v>
      </c>
      <c r="J8" s="12" t="n">
        <v>750</v>
      </c>
      <c r="K8" s="12" t="s">
        <v>73</v>
      </c>
      <c r="L8" s="12" t="s">
        <v>122</v>
      </c>
    </row>
    <row r="9" customFormat="false" ht="15" hidden="false" customHeight="false" outlineLevel="0" collapsed="false">
      <c r="A9" s="12" t="n">
        <v>5</v>
      </c>
      <c r="B9" s="12" t="s">
        <v>40</v>
      </c>
      <c r="C9" s="25" t="n">
        <v>60</v>
      </c>
      <c r="D9" s="25" t="n">
        <v>55</v>
      </c>
      <c r="E9" s="25" t="n">
        <v>29.25</v>
      </c>
      <c r="F9" s="25" t="n">
        <v>38</v>
      </c>
      <c r="G9" s="25" t="n">
        <v>67.25</v>
      </c>
      <c r="H9" s="25" t="n">
        <v>63.5</v>
      </c>
      <c r="I9" s="26" t="s">
        <v>32</v>
      </c>
      <c r="J9" s="12" t="n">
        <v>0</v>
      </c>
      <c r="K9" s="12" t="s">
        <v>66</v>
      </c>
      <c r="L9" s="12" t="s">
        <v>122</v>
      </c>
    </row>
    <row r="10" customFormat="false" ht="15" hidden="false" customHeight="false" outlineLevel="0" collapsed="false">
      <c r="A10" s="12" t="n">
        <v>6</v>
      </c>
      <c r="B10" s="12" t="s">
        <v>36</v>
      </c>
      <c r="C10" s="25" t="n">
        <v>67</v>
      </c>
      <c r="D10" s="25" t="n">
        <v>43</v>
      </c>
      <c r="E10" s="25" t="n">
        <v>27.75</v>
      </c>
      <c r="F10" s="25" t="n">
        <v>43</v>
      </c>
      <c r="G10" s="25" t="n">
        <v>70.75</v>
      </c>
      <c r="H10" s="25" t="n">
        <v>69</v>
      </c>
      <c r="I10" s="26" t="s">
        <v>32</v>
      </c>
      <c r="J10" s="12" t="n">
        <v>0</v>
      </c>
      <c r="K10" s="12" t="s">
        <v>76</v>
      </c>
      <c r="L10" s="12" t="s">
        <v>124</v>
      </c>
    </row>
    <row r="11" customFormat="false" ht="15" hidden="false" customHeight="false" outlineLevel="0" collapsed="false">
      <c r="A11" s="12" t="n">
        <v>7</v>
      </c>
      <c r="B11" s="12" t="s">
        <v>29</v>
      </c>
      <c r="C11" s="25" t="n">
        <v>78</v>
      </c>
      <c r="D11" s="25" t="n">
        <v>60</v>
      </c>
      <c r="E11" s="25" t="n">
        <v>33</v>
      </c>
      <c r="F11" s="25" t="n">
        <v>44</v>
      </c>
      <c r="G11" s="25" t="n">
        <v>77</v>
      </c>
      <c r="H11" s="25" t="n">
        <v>77.5</v>
      </c>
      <c r="I11" s="27" t="s">
        <v>14</v>
      </c>
      <c r="J11" s="12" t="n">
        <v>2000</v>
      </c>
      <c r="K11" s="12" t="s">
        <v>78</v>
      </c>
      <c r="L11" s="12" t="s">
        <v>122</v>
      </c>
    </row>
    <row r="12" customFormat="false" ht="15" hidden="false" customHeight="false" outlineLevel="0" collapsed="false">
      <c r="A12" s="12" t="n">
        <v>8</v>
      </c>
      <c r="B12" s="12" t="s">
        <v>34</v>
      </c>
      <c r="C12" s="25" t="n">
        <v>65</v>
      </c>
      <c r="D12" s="25" t="n">
        <v>48</v>
      </c>
      <c r="E12" s="25" t="n">
        <v>29</v>
      </c>
      <c r="F12" s="25" t="n">
        <v>50</v>
      </c>
      <c r="G12" s="25" t="n">
        <v>79</v>
      </c>
      <c r="H12" s="25" t="n">
        <v>72</v>
      </c>
      <c r="I12" s="26" t="s">
        <v>32</v>
      </c>
      <c r="J12" s="12" t="n">
        <v>0</v>
      </c>
      <c r="K12" s="12" t="s">
        <v>66</v>
      </c>
      <c r="L12" s="12" t="s">
        <v>124</v>
      </c>
    </row>
    <row r="13" customFormat="false" ht="15" hidden="false" customHeight="false" outlineLevel="0" collapsed="false">
      <c r="A13" s="12" t="n">
        <v>9</v>
      </c>
      <c r="B13" s="12" t="s">
        <v>31</v>
      </c>
      <c r="C13" s="25" t="n">
        <v>67</v>
      </c>
      <c r="D13" s="25" t="n">
        <v>46</v>
      </c>
      <c r="E13" s="25" t="n">
        <v>36.25</v>
      </c>
      <c r="F13" s="25" t="n">
        <v>45</v>
      </c>
      <c r="G13" s="25" t="n">
        <v>81.25</v>
      </c>
      <c r="H13" s="25" t="n">
        <v>74</v>
      </c>
      <c r="I13" s="26" t="s">
        <v>32</v>
      </c>
      <c r="J13" s="12" t="n">
        <v>0</v>
      </c>
      <c r="K13" s="12" t="s">
        <v>66</v>
      </c>
      <c r="L13" s="12" t="s">
        <v>124</v>
      </c>
    </row>
    <row r="14" customFormat="false" ht="15" hidden="false" customHeight="false" outlineLevel="0" collapsed="false">
      <c r="A14" s="12" t="n">
        <v>10</v>
      </c>
      <c r="B14" s="12" t="s">
        <v>23</v>
      </c>
      <c r="C14" s="25" t="n">
        <v>70</v>
      </c>
      <c r="D14" s="25" t="n">
        <v>45</v>
      </c>
      <c r="E14" s="25" t="n">
        <v>40.5</v>
      </c>
      <c r="F14" s="25" t="n">
        <v>47</v>
      </c>
      <c r="G14" s="25" t="n">
        <v>87.5</v>
      </c>
      <c r="H14" s="25" t="n">
        <v>79</v>
      </c>
      <c r="I14" s="27" t="s">
        <v>14</v>
      </c>
      <c r="J14" s="12" t="n">
        <v>750</v>
      </c>
      <c r="K14" s="12" t="s">
        <v>73</v>
      </c>
      <c r="L14" s="12" t="s">
        <v>124</v>
      </c>
    </row>
    <row r="15" customFormat="false" ht="15" hidden="false" customHeight="false" outlineLevel="0" collapsed="false">
      <c r="A15" s="12" t="n">
        <v>11</v>
      </c>
      <c r="B15" s="12" t="s">
        <v>43</v>
      </c>
      <c r="C15" s="25" t="n">
        <v>25</v>
      </c>
      <c r="D15" s="25" t="n">
        <v>34</v>
      </c>
      <c r="E15" s="25" t="n">
        <v>25</v>
      </c>
      <c r="F15" s="25" t="n">
        <v>25</v>
      </c>
      <c r="G15" s="25" t="n">
        <v>50</v>
      </c>
      <c r="H15" s="25" t="n">
        <v>50</v>
      </c>
      <c r="I15" s="26" t="s">
        <v>32</v>
      </c>
      <c r="J15" s="12" t="n">
        <v>0</v>
      </c>
      <c r="K15" s="12" t="s">
        <v>83</v>
      </c>
      <c r="L15" s="12" t="s">
        <v>125</v>
      </c>
    </row>
    <row r="16" customFormat="false" ht="15" hidden="false" customHeight="false" outlineLevel="0" collapsed="false">
      <c r="A16" s="12" t="n">
        <v>12</v>
      </c>
      <c r="B16" s="12" t="s">
        <v>42</v>
      </c>
      <c r="C16" s="25" t="n">
        <v>28</v>
      </c>
      <c r="D16" s="25" t="n">
        <v>33</v>
      </c>
      <c r="E16" s="25" t="n">
        <v>25</v>
      </c>
      <c r="F16" s="25" t="n">
        <v>25</v>
      </c>
      <c r="G16" s="25" t="n">
        <v>50</v>
      </c>
      <c r="H16" s="25" t="n">
        <v>53</v>
      </c>
      <c r="I16" s="26" t="s">
        <v>32</v>
      </c>
      <c r="J16" s="12" t="n">
        <v>0</v>
      </c>
      <c r="K16" s="12" t="s">
        <v>83</v>
      </c>
      <c r="L16" s="12" t="s">
        <v>125</v>
      </c>
    </row>
    <row r="18" customFormat="false" ht="15" hidden="false" customHeight="false" outlineLevel="0" collapsed="false">
      <c r="A18" s="28" t="s">
        <v>126</v>
      </c>
    </row>
    <row r="19" customFormat="false" ht="15" hidden="false" customHeight="false" outlineLevel="0" collapsed="false">
      <c r="A19" s="28" t="s">
        <v>127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13" min="3" style="0" width="11"/>
  </cols>
  <sheetData>
    <row r="1" customFormat="false" ht="22.0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9" t="s">
        <v>129</v>
      </c>
      <c r="B3" s="30" t="s">
        <v>38</v>
      </c>
    </row>
    <row r="5" customFormat="false" ht="15" hidden="false" customHeight="false" outlineLevel="0" collapsed="false">
      <c r="A5" s="3" t="s">
        <v>130</v>
      </c>
    </row>
    <row r="6" customFormat="false" ht="15" hidden="false" customHeight="false" outlineLevel="0" collapsed="false">
      <c r="A6" s="31" t="s">
        <v>131</v>
      </c>
      <c r="B6" s="32" t="str">
        <f aca="false">IFERROR(VLOOKUP(B3,'لیست دانش‌آموزان'!B:H,3,FALSE()),"")</f>
        <v>C</v>
      </c>
    </row>
    <row r="7" customFormat="false" ht="15" hidden="false" customHeight="false" outlineLevel="0" collapsed="false">
      <c r="A7" s="31" t="s">
        <v>132</v>
      </c>
      <c r="B7" s="32" t="n">
        <f aca="false">IFERROR(VLOOKUP(B3,'لیست دانش‌آموزان'!B:H,6,FALSE()),"")</f>
        <v>67</v>
      </c>
    </row>
    <row r="8" customFormat="false" ht="15" hidden="false" customHeight="false" outlineLevel="0" collapsed="false">
      <c r="A8" s="31" t="s">
        <v>133</v>
      </c>
      <c r="B8" s="32" t="n">
        <f aca="false">IFERROR(VLOOKUP(B3,'لیست دانش‌آموزان'!B:I,8,FALSE()),"")</f>
        <v>500</v>
      </c>
    </row>
    <row r="9" customFormat="false" ht="15" hidden="false" customHeight="false" outlineLevel="0" collapsed="false">
      <c r="A9" s="31" t="s">
        <v>134</v>
      </c>
      <c r="B9" s="32" t="str">
        <f aca="false">IFERROR(VLOOKUP(B3,'لیست دانش‌آموزان'!B:J,9,FALSE()),"")</f>
        <v>نزول به سطح C</v>
      </c>
    </row>
    <row r="11" customFormat="false" ht="15" hidden="false" customHeight="false" outlineLevel="0" collapsed="false">
      <c r="A11" s="3" t="s">
        <v>135</v>
      </c>
    </row>
    <row r="12" customFormat="false" ht="16.4" hidden="false" customHeight="false" outlineLevel="0" collapsed="false">
      <c r="A12" s="19" t="s">
        <v>136</v>
      </c>
    </row>
    <row r="13" customFormat="false" ht="16.4" hidden="false" customHeight="false" outlineLevel="0" collapsed="false">
      <c r="A13" s="19" t="s">
        <v>137</v>
      </c>
    </row>
    <row r="14" customFormat="false" ht="16.4" hidden="false" customHeight="false" outlineLevel="0" collapsed="false">
      <c r="A14" s="19" t="s">
        <v>138</v>
      </c>
    </row>
    <row r="15" customFormat="false" ht="16.4" hidden="false" customHeight="false" outlineLevel="0" collapsed="false">
      <c r="A15" s="19" t="s">
        <v>139</v>
      </c>
    </row>
    <row r="16" customFormat="false" ht="16.4" hidden="false" customHeight="false" outlineLevel="0" collapsed="false">
      <c r="A16" s="19" t="s">
        <v>140</v>
      </c>
    </row>
    <row r="18" customFormat="false" ht="15" hidden="false" customHeight="false" outlineLevel="0" collapsed="false">
      <c r="A18" s="3" t="s">
        <v>141</v>
      </c>
    </row>
    <row r="19" customFormat="false" ht="16.4" hidden="false" customHeight="false" outlineLevel="0" collapsed="false">
      <c r="A19" s="19" t="s">
        <v>142</v>
      </c>
    </row>
    <row r="20" customFormat="false" ht="16.4" hidden="false" customHeight="false" outlineLevel="0" collapsed="false">
      <c r="A20" s="19" t="s">
        <v>143</v>
      </c>
    </row>
    <row r="21" customFormat="false" ht="16.4" hidden="false" customHeight="false" outlineLevel="0" collapsed="false">
      <c r="A21" s="19" t="s">
        <v>144</v>
      </c>
    </row>
  </sheetData>
  <mergeCells count="1">
    <mergeCell ref="A1:L1"/>
  </mergeCells>
  <dataValidations count="1">
    <dataValidation allowBlank="false" errorStyle="stop" operator="between" showDropDown="false" showErrorMessage="false" showInputMessage="false" sqref="B3" type="list">
      <formula1>"محمد طه زارعیان,محمد طه میرشکار,سیدمحمدطه حسینی,ابوالفضل دهقانیزاده,محمدمهدی زارعیان,بهنام بیک,محمد امین زارع,سیدمصطفی طباطبایی‌نسب,ابوالفضل پورصباغ,بهزاد بیک,محمدرضا زارع بیدکی,سیدعلی حسینی‌مهر"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8" min="7" style="0" width="20"/>
  </cols>
  <sheetData>
    <row r="1" customFormat="false" ht="22.0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146</v>
      </c>
    </row>
    <row r="5" customFormat="false" ht="30" hidden="false" customHeight="true" outlineLevel="0" collapsed="false">
      <c r="A5" s="6" t="s">
        <v>147</v>
      </c>
      <c r="B5" s="6" t="s">
        <v>58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  <c r="H5" s="6" t="s">
        <v>153</v>
      </c>
    </row>
    <row r="6" customFormat="false" ht="15" hidden="false" customHeight="false" outlineLevel="0" collapsed="false">
      <c r="A6" s="12" t="s">
        <v>38</v>
      </c>
      <c r="B6" s="25" t="n">
        <v>67</v>
      </c>
      <c r="C6" s="12" t="s">
        <v>41</v>
      </c>
      <c r="D6" s="13" t="n">
        <v>20</v>
      </c>
      <c r="E6" s="12" t="s">
        <v>30</v>
      </c>
      <c r="F6" s="12" t="s">
        <v>154</v>
      </c>
      <c r="G6" s="12" t="s">
        <v>155</v>
      </c>
      <c r="H6" s="12" t="s">
        <v>41</v>
      </c>
    </row>
    <row r="7" customFormat="false" ht="15" hidden="false" customHeight="false" outlineLevel="0" collapsed="false">
      <c r="A7" s="12" t="s">
        <v>13</v>
      </c>
      <c r="B7" s="25" t="n">
        <v>79</v>
      </c>
      <c r="C7" s="12" t="s">
        <v>21</v>
      </c>
      <c r="D7" s="13" t="n">
        <v>30</v>
      </c>
      <c r="E7" s="12" t="s">
        <v>24</v>
      </c>
      <c r="F7" s="12" t="s">
        <v>156</v>
      </c>
      <c r="G7" s="12" t="s">
        <v>155</v>
      </c>
      <c r="H7" s="12" t="s">
        <v>21</v>
      </c>
    </row>
    <row r="8" customFormat="false" ht="15" hidden="false" customHeight="false" outlineLevel="0" collapsed="false">
      <c r="A8" s="12" t="s">
        <v>20</v>
      </c>
      <c r="B8" s="25" t="n">
        <v>79</v>
      </c>
      <c r="C8" s="12" t="s">
        <v>24</v>
      </c>
      <c r="D8" s="13" t="n">
        <v>27</v>
      </c>
      <c r="E8" s="12" t="s">
        <v>27</v>
      </c>
      <c r="F8" s="12" t="s">
        <v>157</v>
      </c>
      <c r="G8" s="12" t="s">
        <v>155</v>
      </c>
      <c r="H8" s="12" t="s">
        <v>24</v>
      </c>
    </row>
    <row r="9" customFormat="false" ht="15" hidden="false" customHeight="false" outlineLevel="0" collapsed="false">
      <c r="A9" s="12" t="s">
        <v>26</v>
      </c>
      <c r="B9" s="25" t="n">
        <v>77.5</v>
      </c>
      <c r="C9" s="12" t="s">
        <v>21</v>
      </c>
      <c r="D9" s="14" t="n">
        <v>40</v>
      </c>
      <c r="E9" s="12" t="s">
        <v>41</v>
      </c>
      <c r="F9" s="12" t="s">
        <v>158</v>
      </c>
      <c r="G9" s="12" t="s">
        <v>155</v>
      </c>
      <c r="H9" s="12" t="s">
        <v>21</v>
      </c>
    </row>
    <row r="10" customFormat="false" ht="15" hidden="false" customHeight="false" outlineLevel="0" collapsed="false">
      <c r="A10" s="12" t="s">
        <v>40</v>
      </c>
      <c r="B10" s="25" t="n">
        <v>63.5</v>
      </c>
      <c r="C10" s="12" t="s">
        <v>39</v>
      </c>
      <c r="D10" s="13" t="n">
        <v>20</v>
      </c>
      <c r="E10" s="12" t="s">
        <v>35</v>
      </c>
      <c r="F10" s="12" t="s">
        <v>159</v>
      </c>
      <c r="G10" s="12" t="s">
        <v>155</v>
      </c>
      <c r="H10" s="12" t="s">
        <v>39</v>
      </c>
    </row>
    <row r="11" customFormat="false" ht="15" hidden="false" customHeight="false" outlineLevel="0" collapsed="false">
      <c r="A11" s="12" t="s">
        <v>36</v>
      </c>
      <c r="B11" s="25" t="n">
        <v>69</v>
      </c>
      <c r="C11" s="12" t="s">
        <v>24</v>
      </c>
      <c r="D11" s="14" t="n">
        <v>40</v>
      </c>
      <c r="E11" s="12" t="s">
        <v>39</v>
      </c>
      <c r="F11" s="12" t="s">
        <v>160</v>
      </c>
      <c r="G11" s="12" t="s">
        <v>161</v>
      </c>
      <c r="H11" s="12" t="s">
        <v>162</v>
      </c>
    </row>
    <row r="12" customFormat="false" ht="15" hidden="false" customHeight="false" outlineLevel="0" collapsed="false">
      <c r="A12" s="12" t="s">
        <v>29</v>
      </c>
      <c r="B12" s="25" t="n">
        <v>77.5</v>
      </c>
      <c r="C12" s="12" t="s">
        <v>30</v>
      </c>
      <c r="D12" s="13" t="n">
        <v>30</v>
      </c>
      <c r="E12" s="12" t="s">
        <v>21</v>
      </c>
      <c r="F12" s="12" t="s">
        <v>163</v>
      </c>
      <c r="G12" s="12" t="s">
        <v>155</v>
      </c>
      <c r="H12" s="12" t="s">
        <v>30</v>
      </c>
    </row>
    <row r="13" customFormat="false" ht="15" hidden="false" customHeight="false" outlineLevel="0" collapsed="false">
      <c r="A13" s="12" t="s">
        <v>34</v>
      </c>
      <c r="B13" s="25" t="n">
        <v>72</v>
      </c>
      <c r="C13" s="12" t="s">
        <v>21</v>
      </c>
      <c r="D13" s="13" t="n">
        <v>10</v>
      </c>
      <c r="E13" s="12" t="s">
        <v>39</v>
      </c>
      <c r="F13" s="12" t="s">
        <v>164</v>
      </c>
      <c r="G13" s="12" t="s">
        <v>161</v>
      </c>
      <c r="H13" s="12" t="s">
        <v>165</v>
      </c>
    </row>
    <row r="14" customFormat="false" ht="15" hidden="false" customHeight="false" outlineLevel="0" collapsed="false">
      <c r="A14" s="12" t="s">
        <v>31</v>
      </c>
      <c r="B14" s="25" t="n">
        <v>74</v>
      </c>
      <c r="C14" s="12" t="s">
        <v>39</v>
      </c>
      <c r="D14" s="14" t="n">
        <v>40</v>
      </c>
      <c r="E14" s="12" t="s">
        <v>21</v>
      </c>
      <c r="F14" s="12" t="s">
        <v>166</v>
      </c>
      <c r="G14" s="12" t="s">
        <v>161</v>
      </c>
      <c r="H14" s="12" t="s">
        <v>167</v>
      </c>
    </row>
    <row r="15" customFormat="false" ht="15" hidden="false" customHeight="false" outlineLevel="0" collapsed="false">
      <c r="A15" s="12" t="s">
        <v>23</v>
      </c>
      <c r="B15" s="25" t="n">
        <v>79</v>
      </c>
      <c r="C15" s="12" t="s">
        <v>33</v>
      </c>
      <c r="D15" s="14" t="n">
        <v>59.5</v>
      </c>
      <c r="E15" s="12" t="s">
        <v>35</v>
      </c>
      <c r="F15" s="12" t="s">
        <v>168</v>
      </c>
      <c r="G15" s="12" t="s">
        <v>161</v>
      </c>
      <c r="H15" s="12" t="s">
        <v>169</v>
      </c>
    </row>
    <row r="16" customFormat="false" ht="15" hidden="false" customHeight="false" outlineLevel="0" collapsed="false">
      <c r="A16" s="12" t="s">
        <v>43</v>
      </c>
      <c r="B16" s="25" t="n">
        <v>50</v>
      </c>
      <c r="C16" s="12" t="s">
        <v>37</v>
      </c>
      <c r="D16" s="14" t="n">
        <v>40</v>
      </c>
      <c r="E16" s="12" t="s">
        <v>39</v>
      </c>
      <c r="F16" s="12" t="s">
        <v>170</v>
      </c>
      <c r="G16" s="12" t="s">
        <v>161</v>
      </c>
      <c r="H16" s="12" t="s">
        <v>171</v>
      </c>
    </row>
    <row r="17" customFormat="false" ht="15" hidden="false" customHeight="false" outlineLevel="0" collapsed="false">
      <c r="A17" s="12" t="s">
        <v>42</v>
      </c>
      <c r="B17" s="25" t="n">
        <v>53</v>
      </c>
      <c r="C17" s="12" t="s">
        <v>30</v>
      </c>
      <c r="D17" s="14" t="n">
        <v>50</v>
      </c>
      <c r="E17" s="12" t="s">
        <v>41</v>
      </c>
      <c r="F17" s="12" t="s">
        <v>170</v>
      </c>
      <c r="G17" s="12" t="s">
        <v>161</v>
      </c>
      <c r="H17" s="12" t="s">
        <v>171</v>
      </c>
    </row>
    <row r="20" customFormat="false" ht="15" hidden="false" customHeight="false" outlineLevel="0" collapsed="false">
      <c r="A20" s="3" t="s">
        <v>172</v>
      </c>
    </row>
    <row r="21" customFormat="false" ht="16.4" hidden="false" customHeight="false" outlineLevel="0" collapsed="false">
      <c r="A21" s="19" t="s">
        <v>173</v>
      </c>
    </row>
    <row r="22" customFormat="false" ht="16.4" hidden="false" customHeight="false" outlineLevel="0" collapsed="false">
      <c r="A22" s="19" t="s">
        <v>174</v>
      </c>
    </row>
    <row r="23" customFormat="false" ht="16.4" hidden="false" customHeight="false" outlineLevel="0" collapsed="false">
      <c r="A23" s="19" t="s">
        <v>175</v>
      </c>
    </row>
    <row r="24" customFormat="false" ht="16.4" hidden="false" customHeight="false" outlineLevel="0" collapsed="false">
      <c r="A24" s="19" t="s">
        <v>176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22.05" hidden="false" customHeight="false" outlineLevel="0" collapsed="false">
      <c r="A1" s="33" t="s">
        <v>177</v>
      </c>
    </row>
    <row r="3" customFormat="false" ht="15" hidden="false" customHeight="false" outlineLevel="0" collapsed="false">
      <c r="A3" s="3" t="s">
        <v>178</v>
      </c>
    </row>
    <row r="4" customFormat="false" ht="15" hidden="false" customHeight="false" outlineLevel="0" collapsed="false">
      <c r="A4" s="6" t="s">
        <v>15</v>
      </c>
      <c r="B4" s="6" t="s">
        <v>179</v>
      </c>
      <c r="C4" s="6" t="s">
        <v>180</v>
      </c>
    </row>
    <row r="5" customFormat="false" ht="15" hidden="false" customHeight="false" outlineLevel="0" collapsed="false">
      <c r="A5" s="9" t="s">
        <v>37</v>
      </c>
      <c r="B5" s="34" t="n">
        <v>40</v>
      </c>
      <c r="C5" s="9" t="s">
        <v>181</v>
      </c>
    </row>
    <row r="6" customFormat="false" ht="15" hidden="false" customHeight="false" outlineLevel="0" collapsed="false">
      <c r="A6" s="9" t="s">
        <v>33</v>
      </c>
      <c r="B6" s="34" t="n">
        <v>40</v>
      </c>
      <c r="C6" s="9" t="s">
        <v>182</v>
      </c>
    </row>
    <row r="7" customFormat="false" ht="15" hidden="false" customHeight="false" outlineLevel="0" collapsed="false">
      <c r="A7" s="9" t="s">
        <v>30</v>
      </c>
      <c r="B7" s="34" t="n">
        <v>10</v>
      </c>
      <c r="C7" s="9" t="s">
        <v>183</v>
      </c>
    </row>
    <row r="8" customFormat="false" ht="15" hidden="false" customHeight="false" outlineLevel="0" collapsed="false">
      <c r="A8" s="9" t="s">
        <v>39</v>
      </c>
      <c r="B8" s="34" t="n">
        <v>5</v>
      </c>
      <c r="C8" s="9" t="s">
        <v>184</v>
      </c>
    </row>
    <row r="9" customFormat="false" ht="15" hidden="false" customHeight="false" outlineLevel="0" collapsed="false">
      <c r="A9" s="9" t="s">
        <v>21</v>
      </c>
      <c r="B9" s="34" t="n">
        <v>10</v>
      </c>
      <c r="C9" s="9" t="s">
        <v>185</v>
      </c>
    </row>
    <row r="10" customFormat="false" ht="15" hidden="false" customHeight="false" outlineLevel="0" collapsed="false">
      <c r="A10" s="9" t="s">
        <v>35</v>
      </c>
      <c r="B10" s="34" t="n">
        <v>7</v>
      </c>
      <c r="C10" s="9" t="s">
        <v>186</v>
      </c>
    </row>
    <row r="11" customFormat="false" ht="15" hidden="false" customHeight="false" outlineLevel="0" collapsed="false">
      <c r="A11" s="9" t="s">
        <v>27</v>
      </c>
      <c r="B11" s="34" t="n">
        <v>8</v>
      </c>
      <c r="C11" s="9" t="s">
        <v>187</v>
      </c>
    </row>
    <row r="12" customFormat="false" ht="15" hidden="false" customHeight="false" outlineLevel="0" collapsed="false">
      <c r="A12" s="9" t="s">
        <v>41</v>
      </c>
      <c r="B12" s="34" t="n">
        <v>10</v>
      </c>
      <c r="C12" s="9" t="s">
        <v>188</v>
      </c>
    </row>
    <row r="13" customFormat="false" ht="15" hidden="false" customHeight="false" outlineLevel="0" collapsed="false">
      <c r="A13" s="9" t="s">
        <v>24</v>
      </c>
      <c r="B13" s="34" t="n">
        <v>10</v>
      </c>
      <c r="C13" s="9" t="s">
        <v>189</v>
      </c>
    </row>
    <row r="14" customFormat="false" ht="15" hidden="false" customHeight="false" outlineLevel="0" collapsed="false">
      <c r="A14" s="9" t="s">
        <v>190</v>
      </c>
      <c r="B14" s="34" t="n">
        <v>140</v>
      </c>
      <c r="C14" s="9" t="s">
        <v>191</v>
      </c>
    </row>
    <row r="15" customFormat="false" ht="15" hidden="false" customHeight="false" outlineLevel="0" collapsed="false">
      <c r="A15" s="9" t="s">
        <v>97</v>
      </c>
      <c r="B15" s="34" t="n">
        <v>60</v>
      </c>
      <c r="C15" s="9" t="s">
        <v>192</v>
      </c>
    </row>
    <row r="18" customFormat="false" ht="16.15" hidden="false" customHeight="false" outlineLevel="0" collapsed="false">
      <c r="A18" s="3" t="s">
        <v>193</v>
      </c>
    </row>
    <row r="19" customFormat="false" ht="16.4" hidden="false" customHeight="false" outlineLevel="0" collapsed="false">
      <c r="A19" s="19" t="s">
        <v>194</v>
      </c>
      <c r="B19" s="35" t="n">
        <v>70</v>
      </c>
    </row>
    <row r="20" customFormat="false" ht="16.4" hidden="false" customHeight="false" outlineLevel="0" collapsed="false">
      <c r="A20" s="19" t="s">
        <v>195</v>
      </c>
      <c r="B20" s="35" t="n">
        <v>50</v>
      </c>
    </row>
    <row r="21" customFormat="false" ht="16.4" hidden="false" customHeight="false" outlineLevel="0" collapsed="false">
      <c r="A21" s="19" t="s">
        <v>196</v>
      </c>
      <c r="B21" s="35" t="n">
        <v>58</v>
      </c>
    </row>
    <row r="23" customFormat="false" ht="15" hidden="false" customHeight="false" outlineLevel="0" collapsed="false">
      <c r="A23" s="3" t="s">
        <v>197</v>
      </c>
    </row>
    <row r="24" customFormat="false" ht="16.4" hidden="false" customHeight="false" outlineLevel="0" collapsed="false">
      <c r="A24" s="19" t="s">
        <v>198</v>
      </c>
    </row>
    <row r="25" customFormat="false" ht="16.4" hidden="false" customHeight="false" outlineLevel="0" collapsed="false">
      <c r="A25" s="19" t="s">
        <v>199</v>
      </c>
    </row>
    <row r="26" customFormat="false" ht="16.4" hidden="false" customHeight="false" outlineLevel="0" collapsed="false">
      <c r="A26" s="19" t="s">
        <v>200</v>
      </c>
    </row>
    <row r="27" customFormat="false" ht="16.4" hidden="false" customHeight="false" outlineLevel="0" collapsed="false">
      <c r="A27" s="19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2.05" hidden="false" customHeight="false" outlineLevel="0" collapsed="false">
      <c r="A1" s="33" t="s">
        <v>202</v>
      </c>
    </row>
    <row r="2" customFormat="false" ht="15" hidden="false" customHeight="false" outlineLevel="0" collapsed="false">
      <c r="A2" s="36"/>
    </row>
    <row r="3" customFormat="false" ht="14.15" hidden="false" customHeight="false" outlineLevel="0" collapsed="false">
      <c r="A3" s="36" t="s">
        <v>203</v>
      </c>
    </row>
    <row r="4" customFormat="false" ht="15" hidden="false" customHeight="false" outlineLevel="0" collapsed="false">
      <c r="A4" s="36"/>
    </row>
    <row r="5" customFormat="false" ht="14.15" hidden="false" customHeight="false" outlineLevel="0" collapsed="false">
      <c r="A5" s="36" t="s">
        <v>204</v>
      </c>
    </row>
    <row r="6" customFormat="false" ht="14.15" hidden="false" customHeight="false" outlineLevel="0" collapsed="false">
      <c r="A6" s="36" t="s">
        <v>205</v>
      </c>
    </row>
    <row r="7" customFormat="false" ht="15" hidden="false" customHeight="false" outlineLevel="0" collapsed="false">
      <c r="A7" s="36" t="s">
        <v>206</v>
      </c>
    </row>
    <row r="8" customFormat="false" ht="14.15" hidden="false" customHeight="false" outlineLevel="0" collapsed="false">
      <c r="A8" s="36" t="s">
        <v>207</v>
      </c>
    </row>
    <row r="9" customFormat="false" ht="15" hidden="false" customHeight="false" outlineLevel="0" collapsed="false">
      <c r="A9" s="36" t="s">
        <v>208</v>
      </c>
    </row>
    <row r="10" customFormat="false" ht="15" hidden="false" customHeight="false" outlineLevel="0" collapsed="false">
      <c r="A10" s="36" t="s">
        <v>209</v>
      </c>
    </row>
    <row r="11" customFormat="false" ht="15" hidden="false" customHeight="false" outlineLevel="0" collapsed="false">
      <c r="A11" s="36" t="s">
        <v>210</v>
      </c>
    </row>
    <row r="12" customFormat="false" ht="15" hidden="false" customHeight="false" outlineLevel="0" collapsed="false">
      <c r="A12" s="36"/>
    </row>
    <row r="13" customFormat="false" ht="14.15" hidden="false" customHeight="false" outlineLevel="0" collapsed="false">
      <c r="A13" s="36" t="s">
        <v>211</v>
      </c>
    </row>
    <row r="14" customFormat="false" ht="14.15" hidden="false" customHeight="false" outlineLevel="0" collapsed="false">
      <c r="A14" s="36" t="s">
        <v>212</v>
      </c>
    </row>
    <row r="15" customFormat="false" ht="14.15" hidden="false" customHeight="false" outlineLevel="0" collapsed="false">
      <c r="A15" s="36" t="s">
        <v>213</v>
      </c>
    </row>
    <row r="16" customFormat="false" ht="14.15" hidden="false" customHeight="false" outlineLevel="0" collapsed="false">
      <c r="A16" s="36" t="s">
        <v>214</v>
      </c>
    </row>
    <row r="17" customFormat="false" ht="14.15" hidden="false" customHeight="false" outlineLevel="0" collapsed="false">
      <c r="A17" s="36" t="s">
        <v>215</v>
      </c>
    </row>
    <row r="18" customFormat="false" ht="14.15" hidden="false" customHeight="false" outlineLevel="0" collapsed="false">
      <c r="A18" s="36" t="s">
        <v>216</v>
      </c>
    </row>
    <row r="19" customFormat="false" ht="15" hidden="false" customHeight="false" outlineLevel="0" collapsed="false">
      <c r="A19" s="36"/>
    </row>
    <row r="20" customFormat="false" ht="14.15" hidden="false" customHeight="false" outlineLevel="0" collapsed="false">
      <c r="A20" s="36" t="s">
        <v>217</v>
      </c>
    </row>
    <row r="21" customFormat="false" ht="15" hidden="false" customHeight="false" outlineLevel="0" collapsed="false">
      <c r="A21" s="36" t="s">
        <v>218</v>
      </c>
    </row>
    <row r="22" customFormat="false" ht="14.15" hidden="false" customHeight="false" outlineLevel="0" collapsed="false">
      <c r="A22" s="36" t="s">
        <v>219</v>
      </c>
    </row>
    <row r="23" customFormat="false" ht="14.15" hidden="false" customHeight="false" outlineLevel="0" collapsed="false">
      <c r="A23" s="36" t="s">
        <v>220</v>
      </c>
    </row>
    <row r="24" customFormat="false" ht="15" hidden="false" customHeight="false" outlineLevel="0" collapsed="false">
      <c r="A24" s="36" t="s">
        <v>221</v>
      </c>
    </row>
    <row r="25" customFormat="false" ht="15" hidden="false" customHeight="false" outlineLevel="0" collapsed="false">
      <c r="A25" s="36" t="s">
        <v>222</v>
      </c>
    </row>
    <row r="26" customFormat="false" ht="15" hidden="false" customHeight="false" outlineLevel="0" collapsed="false">
      <c r="A26" s="36"/>
    </row>
    <row r="27" customFormat="false" ht="14.15" hidden="false" customHeight="false" outlineLevel="0" collapsed="false">
      <c r="A27" s="36" t="s">
        <v>223</v>
      </c>
    </row>
    <row r="28" customFormat="false" ht="14.15" hidden="false" customHeight="false" outlineLevel="0" collapsed="false">
      <c r="A28" s="36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9" t="s">
        <v>9</v>
      </c>
      <c r="B1" s="19" t="s">
        <v>225</v>
      </c>
    </row>
    <row r="2" customFormat="false" ht="15" hidden="false" customHeight="false" outlineLevel="0" collapsed="false">
      <c r="A2" s="0" t="s">
        <v>14</v>
      </c>
      <c r="B2" s="0" t="n">
        <v>5</v>
      </c>
    </row>
    <row r="3" customFormat="false" ht="15" hidden="false" customHeight="false" outlineLevel="0" collapsed="false">
      <c r="A3" s="0" t="s">
        <v>32</v>
      </c>
      <c r="B3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2026-08-22T16:21:32Z</dcterms:created>
  <dc:creator>openpyxl</dc:creator>
  <dc:description/>
  <dc:language>en-US</dc:language>
  <cp:lastModifiedBy/>
  <dcterms:modified xsi:type="dcterms:W3CDTF">2026-08-22T16:21:40Z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