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s gostar\Desktop\تابستان 1405 حفظ\"/>
    </mc:Choice>
  </mc:AlternateContent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4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5" i="2" l="1"/>
  <c r="R15" i="2"/>
  <c r="L14" i="2"/>
  <c r="N14" i="2" s="1"/>
  <c r="L13" i="2"/>
  <c r="N13" i="2" s="1"/>
  <c r="L12" i="2"/>
  <c r="N12" i="2" s="1"/>
  <c r="L11" i="2"/>
  <c r="N11" i="2" s="1"/>
  <c r="L10" i="2"/>
  <c r="N10" i="2" s="1"/>
  <c r="S15" i="3"/>
  <c r="R15" i="3"/>
  <c r="L14" i="3"/>
  <c r="N14" i="3" s="1"/>
  <c r="L13" i="3"/>
  <c r="N13" i="3" s="1"/>
  <c r="L12" i="3"/>
  <c r="N12" i="3" s="1"/>
  <c r="L11" i="3"/>
  <c r="N11" i="3" s="1"/>
  <c r="L10" i="3"/>
  <c r="N10" i="3" s="1"/>
  <c r="S15" i="4"/>
  <c r="R15" i="4"/>
  <c r="L14" i="4"/>
  <c r="N14" i="4" s="1"/>
  <c r="L13" i="4"/>
  <c r="N13" i="4" s="1"/>
  <c r="L12" i="4"/>
  <c r="N12" i="4" s="1"/>
  <c r="L11" i="4"/>
  <c r="N11" i="4" s="1"/>
  <c r="L10" i="4"/>
  <c r="N10" i="4" s="1"/>
  <c r="S15" i="5"/>
  <c r="R15" i="5"/>
  <c r="L14" i="5"/>
  <c r="N14" i="5" s="1"/>
  <c r="L13" i="5"/>
  <c r="N13" i="5" s="1"/>
  <c r="L12" i="5"/>
  <c r="N12" i="5" s="1"/>
  <c r="L11" i="5"/>
  <c r="N11" i="5" s="1"/>
  <c r="L10" i="5"/>
  <c r="N10" i="5" s="1"/>
  <c r="S15" i="6"/>
  <c r="R15" i="6"/>
  <c r="L14" i="6"/>
  <c r="N14" i="6" s="1"/>
  <c r="L13" i="6"/>
  <c r="N13" i="6" s="1"/>
  <c r="L12" i="6"/>
  <c r="N12" i="6" s="1"/>
  <c r="L11" i="6"/>
  <c r="N11" i="6" s="1"/>
  <c r="L10" i="6"/>
  <c r="N10" i="6" s="1"/>
  <c r="S15" i="7"/>
  <c r="R15" i="7"/>
  <c r="N14" i="7"/>
  <c r="L14" i="7"/>
  <c r="L13" i="7"/>
  <c r="N13" i="7" s="1"/>
  <c r="L12" i="7"/>
  <c r="N12" i="7" s="1"/>
  <c r="L11" i="7"/>
  <c r="N11" i="7" s="1"/>
  <c r="L10" i="7"/>
  <c r="N10" i="7" s="1"/>
  <c r="O15" i="7" s="1"/>
  <c r="S15" i="8"/>
  <c r="R15" i="8"/>
  <c r="L14" i="8"/>
  <c r="N14" i="8" s="1"/>
  <c r="L13" i="8"/>
  <c r="N13" i="8" s="1"/>
  <c r="L12" i="8"/>
  <c r="N12" i="8" s="1"/>
  <c r="L11" i="8"/>
  <c r="N11" i="8" s="1"/>
  <c r="L10" i="8"/>
  <c r="N10" i="8" s="1"/>
  <c r="L3" i="8"/>
  <c r="T8" i="9"/>
  <c r="S15" i="9"/>
  <c r="R15" i="9"/>
  <c r="L14" i="9"/>
  <c r="N14" i="9" s="1"/>
  <c r="L13" i="9"/>
  <c r="N13" i="9" s="1"/>
  <c r="L12" i="9"/>
  <c r="N12" i="9" s="1"/>
  <c r="L11" i="9"/>
  <c r="N11" i="9" s="1"/>
  <c r="L10" i="9"/>
  <c r="N10" i="9" s="1"/>
  <c r="S15" i="10"/>
  <c r="R15" i="10"/>
  <c r="L14" i="10"/>
  <c r="N14" i="10" s="1"/>
  <c r="L13" i="10"/>
  <c r="N13" i="10" s="1"/>
  <c r="L12" i="10"/>
  <c r="N12" i="10" s="1"/>
  <c r="L11" i="10"/>
  <c r="N11" i="10" s="1"/>
  <c r="L10" i="10"/>
  <c r="N10" i="10" s="1"/>
  <c r="L3" i="10"/>
  <c r="S15" i="11"/>
  <c r="R15" i="11"/>
  <c r="L14" i="11"/>
  <c r="N14" i="11" s="1"/>
  <c r="L13" i="11"/>
  <c r="N13" i="11" s="1"/>
  <c r="L12" i="11"/>
  <c r="N12" i="11" s="1"/>
  <c r="L11" i="11"/>
  <c r="N11" i="11" s="1"/>
  <c r="L10" i="11"/>
  <c r="N10" i="11" s="1"/>
  <c r="S15" i="12"/>
  <c r="R15" i="12"/>
  <c r="L14" i="12"/>
  <c r="N14" i="12" s="1"/>
  <c r="L13" i="12"/>
  <c r="N13" i="12" s="1"/>
  <c r="L12" i="12"/>
  <c r="N12" i="12" s="1"/>
  <c r="L11" i="12"/>
  <c r="N11" i="12" s="1"/>
  <c r="L10" i="12"/>
  <c r="N10" i="12" s="1"/>
  <c r="S15" i="1"/>
  <c r="R15" i="1"/>
  <c r="L14" i="1"/>
  <c r="N14" i="1" s="1"/>
  <c r="L13" i="1"/>
  <c r="N13" i="1" s="1"/>
  <c r="L12" i="1"/>
  <c r="N12" i="1" s="1"/>
  <c r="L11" i="1"/>
  <c r="N11" i="1" s="1"/>
  <c r="L10" i="1"/>
  <c r="N10" i="1" s="1"/>
  <c r="O15" i="1" s="1"/>
  <c r="O15" i="2" l="1"/>
  <c r="T15" i="2" s="1"/>
  <c r="O15" i="3"/>
  <c r="T15" i="3" s="1"/>
  <c r="O15" i="4"/>
  <c r="T15" i="4"/>
  <c r="O15" i="5"/>
  <c r="T15" i="5" s="1"/>
  <c r="O15" i="6"/>
  <c r="T15" i="6" s="1"/>
  <c r="T15" i="7"/>
  <c r="O15" i="8"/>
  <c r="T15" i="8" s="1"/>
  <c r="O15" i="9"/>
  <c r="T15" i="9"/>
  <c r="O15" i="10"/>
  <c r="T15" i="10"/>
  <c r="O15" i="11"/>
  <c r="T15" i="11" s="1"/>
  <c r="O15" i="12"/>
  <c r="T15" i="12" s="1"/>
  <c r="T15" i="1"/>
  <c r="L7" i="12"/>
  <c r="N7" i="12" s="1"/>
  <c r="L6" i="12"/>
  <c r="N6" i="12" s="1"/>
  <c r="L5" i="12"/>
  <c r="N5" i="12" s="1"/>
  <c r="L7" i="11"/>
  <c r="L6" i="11"/>
  <c r="N6" i="11" s="1"/>
  <c r="L5" i="11"/>
  <c r="N5" i="11" s="1"/>
  <c r="L7" i="10"/>
  <c r="N7" i="10" s="1"/>
  <c r="L6" i="10"/>
  <c r="N6" i="10" s="1"/>
  <c r="L5" i="10"/>
  <c r="L7" i="9"/>
  <c r="L6" i="9"/>
  <c r="N6" i="9" s="1"/>
  <c r="L5" i="9"/>
  <c r="N5" i="9" s="1"/>
  <c r="L7" i="8"/>
  <c r="N7" i="8" s="1"/>
  <c r="L6" i="8"/>
  <c r="N6" i="8" s="1"/>
  <c r="L5" i="8"/>
  <c r="N5" i="8" s="1"/>
  <c r="L7" i="7"/>
  <c r="N7" i="7" s="1"/>
  <c r="L6" i="7"/>
  <c r="N6" i="7" s="1"/>
  <c r="L5" i="7"/>
  <c r="N5" i="7" s="1"/>
  <c r="L7" i="6"/>
  <c r="N7" i="6" s="1"/>
  <c r="L6" i="6"/>
  <c r="N6" i="6" s="1"/>
  <c r="L5" i="6"/>
  <c r="N5" i="6" s="1"/>
  <c r="L3" i="6"/>
  <c r="L7" i="5"/>
  <c r="N7" i="5" s="1"/>
  <c r="L6" i="5"/>
  <c r="N6" i="5" s="1"/>
  <c r="L5" i="5"/>
  <c r="N5" i="5" s="1"/>
  <c r="L7" i="4"/>
  <c r="N7" i="4" s="1"/>
  <c r="L6" i="4"/>
  <c r="L5" i="4"/>
  <c r="N5" i="4" s="1"/>
  <c r="L7" i="3"/>
  <c r="N7" i="3" s="1"/>
  <c r="L6" i="3"/>
  <c r="N6" i="3" s="1"/>
  <c r="L5" i="3"/>
  <c r="L7" i="2"/>
  <c r="N7" i="2" s="1"/>
  <c r="L6" i="2"/>
  <c r="N6" i="2" s="1"/>
  <c r="L5" i="2"/>
  <c r="L7" i="1"/>
  <c r="N7" i="1" s="1"/>
  <c r="L6" i="1"/>
  <c r="N6" i="1" s="1"/>
  <c r="L5" i="1"/>
  <c r="L4" i="1"/>
  <c r="N4" i="1"/>
  <c r="N7" i="11"/>
  <c r="N5" i="10"/>
  <c r="N7" i="9"/>
  <c r="N6" i="4"/>
  <c r="N5" i="3"/>
  <c r="N4" i="3"/>
  <c r="N5" i="2"/>
  <c r="N4" i="2"/>
  <c r="N5" i="1"/>
  <c r="S8" i="2"/>
  <c r="R8" i="2"/>
  <c r="L4" i="2"/>
  <c r="L3" i="2"/>
  <c r="N3" i="2" s="1"/>
  <c r="O8" i="2" l="1"/>
  <c r="T8" i="2" s="1"/>
  <c r="S8" i="12"/>
  <c r="R8" i="12"/>
  <c r="L4" i="12"/>
  <c r="N4" i="12" s="1"/>
  <c r="L3" i="12"/>
  <c r="N3" i="12" s="1"/>
  <c r="S8" i="11"/>
  <c r="R8" i="11"/>
  <c r="L4" i="11"/>
  <c r="N4" i="11" s="1"/>
  <c r="L3" i="11"/>
  <c r="N3" i="11" s="1"/>
  <c r="S8" i="10"/>
  <c r="R8" i="10"/>
  <c r="L4" i="10"/>
  <c r="N4" i="10" s="1"/>
  <c r="N3" i="10"/>
  <c r="S8" i="9"/>
  <c r="R8" i="9"/>
  <c r="L4" i="9"/>
  <c r="N4" i="9" s="1"/>
  <c r="L3" i="9"/>
  <c r="N3" i="9" s="1"/>
  <c r="S8" i="8"/>
  <c r="R8" i="8"/>
  <c r="L4" i="8"/>
  <c r="N4" i="8" s="1"/>
  <c r="N3" i="8"/>
  <c r="S8" i="7"/>
  <c r="R8" i="7"/>
  <c r="L4" i="7"/>
  <c r="N4" i="7" s="1"/>
  <c r="L3" i="7"/>
  <c r="N3" i="7" s="1"/>
  <c r="S8" i="6"/>
  <c r="R8" i="6"/>
  <c r="L4" i="6"/>
  <c r="N4" i="6" s="1"/>
  <c r="N3" i="6"/>
  <c r="S8" i="5"/>
  <c r="R8" i="5"/>
  <c r="L4" i="5"/>
  <c r="N4" i="5" s="1"/>
  <c r="L3" i="5"/>
  <c r="N3" i="5" s="1"/>
  <c r="S8" i="4"/>
  <c r="R8" i="4"/>
  <c r="L4" i="4"/>
  <c r="N4" i="4" s="1"/>
  <c r="L3" i="4"/>
  <c r="N3" i="4" s="1"/>
  <c r="S8" i="3"/>
  <c r="R8" i="3"/>
  <c r="L4" i="3"/>
  <c r="L3" i="3"/>
  <c r="N3" i="3" s="1"/>
  <c r="O8" i="3" s="1"/>
  <c r="S8" i="1"/>
  <c r="R8" i="1"/>
  <c r="L3" i="1"/>
  <c r="N3" i="1" s="1"/>
  <c r="O8" i="1" s="1"/>
  <c r="T8" i="1" l="1"/>
  <c r="O8" i="12"/>
  <c r="T8" i="12" s="1"/>
  <c r="O8" i="11"/>
  <c r="T8" i="11" s="1"/>
  <c r="O8" i="10"/>
  <c r="T8" i="10" s="1"/>
  <c r="O8" i="9"/>
  <c r="O8" i="8"/>
  <c r="T8" i="8" s="1"/>
  <c r="O8" i="7"/>
  <c r="T8" i="7" s="1"/>
  <c r="O8" i="6"/>
  <c r="T8" i="6" s="1"/>
  <c r="O8" i="5"/>
  <c r="T8" i="5" s="1"/>
  <c r="O8" i="4"/>
  <c r="T8" i="4" s="1"/>
  <c r="T8" i="3"/>
</calcChain>
</file>

<file path=xl/comments1.xml><?xml version="1.0" encoding="utf-8"?>
<comments xmlns="http://schemas.openxmlformats.org/spreadsheetml/2006/main">
  <authors>
    <author>pars gostar</author>
  </authors>
  <commentList>
    <comment ref="S1" authorId="0" shapeId="0">
      <text>
        <r>
          <rPr>
            <b/>
            <sz val="9"/>
            <color indexed="81"/>
            <rFont val="Tahoma"/>
          </rPr>
          <t>pars gostar: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<sst xmlns="http://schemas.openxmlformats.org/spreadsheetml/2006/main" count="426" uniqueCount="57">
  <si>
    <t>محمد طه زارعیان</t>
  </si>
  <si>
    <t>خواندنی1</t>
  </si>
  <si>
    <t>خواندنی2</t>
  </si>
  <si>
    <t>شماره صفحه</t>
  </si>
  <si>
    <t>شماره آیه</t>
  </si>
  <si>
    <t>تشخیص عبارت</t>
  </si>
  <si>
    <t>ترتیب آیه</t>
  </si>
  <si>
    <t>ترتیب صفحه</t>
  </si>
  <si>
    <t>اول و آخر آیه</t>
  </si>
  <si>
    <t>شمارشی</t>
  </si>
  <si>
    <t>انضباط</t>
  </si>
  <si>
    <t>تاریخ</t>
  </si>
  <si>
    <t>جمع کل</t>
  </si>
  <si>
    <t>میانگین ارزیابی های هفته</t>
  </si>
  <si>
    <t>نمره ارزیابی کل هفته</t>
  </si>
  <si>
    <t>آزمون شفاهی از 50</t>
  </si>
  <si>
    <t>آزمون کتبی از 50</t>
  </si>
  <si>
    <t>میانگین روز</t>
  </si>
  <si>
    <t>انضباط کل هفته (مرد اخلاق)</t>
  </si>
  <si>
    <t>جمع ارزیابی شفاهی و کتبی آخر هفته</t>
  </si>
  <si>
    <t>محمدطه میرشکار</t>
  </si>
  <si>
    <t>1405/5/17</t>
  </si>
  <si>
    <t>1405/5/18</t>
  </si>
  <si>
    <t>1405/5/19</t>
  </si>
  <si>
    <t>1405/5/20</t>
  </si>
  <si>
    <t>1405/5/21</t>
  </si>
  <si>
    <t>سید محمدطه حسینی</t>
  </si>
  <si>
    <t>ابوالفضل دهقانیزداه</t>
  </si>
  <si>
    <t>محمدمهدی زارعیان</t>
  </si>
  <si>
    <t>بهنام بیک</t>
  </si>
  <si>
    <t>محمدامین زارع بیدکی</t>
  </si>
  <si>
    <t>سیدمصطفی طباطبایی‌نسب</t>
  </si>
  <si>
    <t>ابوالفضل پورصباغ</t>
  </si>
  <si>
    <t>بهزاد بیک</t>
  </si>
  <si>
    <t>سیدعلی حسینی‌مهر</t>
  </si>
  <si>
    <t>محمدرضا زارع بیدکی</t>
  </si>
  <si>
    <t>انضباط از 60</t>
  </si>
  <si>
    <t>1405/5/24</t>
  </si>
  <si>
    <t>1405/5/22</t>
  </si>
  <si>
    <t>ارزیابی پایان هفته</t>
  </si>
  <si>
    <t>1405/5/25</t>
  </si>
  <si>
    <t>1405/5/26</t>
  </si>
  <si>
    <t>1405/5/27</t>
  </si>
  <si>
    <t>1405/5/28</t>
  </si>
  <si>
    <t>1405/5/29</t>
  </si>
  <si>
    <t>نام و نام‌خانوادگی</t>
  </si>
  <si>
    <t>میانگین هفته</t>
  </si>
  <si>
    <t>میانگین انضباظ هفته</t>
  </si>
  <si>
    <t>نمره ارزیابی پایان هفته</t>
  </si>
  <si>
    <t>آزمون کتبی</t>
  </si>
  <si>
    <t>آزمون شفاهی</t>
  </si>
  <si>
    <t>محمد طه میرشکار</t>
  </si>
  <si>
    <t>سیدمحمد طه حسینی</t>
  </si>
  <si>
    <t>ابوالفضل دهقانیزاده</t>
  </si>
  <si>
    <t>محمد امین زارع</t>
  </si>
  <si>
    <t>سیدمصطفی طباطبایی‌نسب‌</t>
  </si>
  <si>
    <t>ابوالفضل پور صباغ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</si>
</sst>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600">
                <a:cs typeface="B Titr" panose="00000700000000000000" pitchFamily="2" charset="-78"/>
              </a:rPr>
              <a:t>شیب</a:t>
            </a:r>
            <a:r>
              <a:rPr lang="fa-IR" sz="1600" baseline="0">
                <a:cs typeface="B Titr" panose="00000700000000000000" pitchFamily="2" charset="-78"/>
              </a:rPr>
              <a:t> عملکرد روزانه با تعیین میانگین هفته</a:t>
            </a:r>
            <a:endParaRPr lang="en-US" sz="1600">
              <a:cs typeface="B Titr" panose="00000700000000000000" pitchFamily="2" charset="-78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Sheet1!$N$3:$N$7</c:f>
              <c:numCache>
                <c:formatCode>General</c:formatCode>
                <c:ptCount val="5"/>
                <c:pt idx="0">
                  <c:v>80.5</c:v>
                </c:pt>
                <c:pt idx="1">
                  <c:v>65</c:v>
                </c:pt>
                <c:pt idx="2">
                  <c:v>63.5</c:v>
                </c:pt>
                <c:pt idx="3">
                  <c:v>65</c:v>
                </c:pt>
                <c:pt idx="4">
                  <c:v>59.5</c:v>
                </c:pt>
              </c:numCache>
            </c:numRef>
          </c:val>
          <c:smooth val="0"/>
        </c:ser>
        <c:ser>
          <c:idx val="1"/>
          <c:order val="1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Sheet1!$O$8</c:f>
              <c:numCache>
                <c:formatCode>General</c:formatCode>
                <c:ptCount val="1"/>
                <c:pt idx="0">
                  <c:v>66.7</c:v>
                </c:pt>
              </c:numCache>
            </c:numRef>
          </c:val>
          <c:smooth val="0"/>
        </c:ser>
        <c:ser>
          <c:idx val="2"/>
          <c:order val="2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Sheet1!$O$8</c:f>
              <c:numCache>
                <c:formatCode>General</c:formatCode>
                <c:ptCount val="1"/>
                <c:pt idx="0">
                  <c:v>66.7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520998336"/>
        <c:axId val="-1521001056"/>
      </c:lineChart>
      <c:catAx>
        <c:axId val="-1520998336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21001056"/>
        <c:crosses val="autoZero"/>
        <c:auto val="1"/>
        <c:lblAlgn val="ctr"/>
        <c:lblOffset val="100"/>
        <c:noMultiLvlLbl val="0"/>
      </c:catAx>
      <c:valAx>
        <c:axId val="-1521001056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15209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3</xdr:row>
      <xdr:rowOff>166687</xdr:rowOff>
    </xdr:from>
    <xdr:to>
      <xdr:col>16</xdr:col>
      <xdr:colOff>342900</xdr:colOff>
      <xdr:row>18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5"/>
  <sheetViews>
    <sheetView rightToLeft="1" tabSelected="1" topLeftCell="G1" workbookViewId="0">
      <selection activeCell="O8" activeCellId="2" sqref="N3:N7 O8 O8"/>
    </sheetView>
  </sheetViews>
  <sheetFormatPr defaultRowHeight="15" x14ac:dyDescent="0.25"/>
  <cols>
    <col min="1" max="1" width="18.42578125" style="1" customWidth="1"/>
    <col min="2" max="4" width="9.140625" style="1"/>
    <col min="5" max="5" width="10.5703125" style="1" customWidth="1"/>
    <col min="6" max="6" width="8.7109375" style="1" customWidth="1"/>
    <col min="7" max="7" width="12.28515625" style="1" customWidth="1"/>
    <col min="8" max="8" width="9.140625" style="1"/>
    <col min="9" max="9" width="10.85546875" style="1" customWidth="1"/>
    <col min="10" max="10" width="11.42578125" style="1" customWidth="1"/>
    <col min="11" max="11" width="9.140625" style="1"/>
    <col min="12" max="12" width="12.28515625" style="1" customWidth="1"/>
    <col min="13" max="13" width="14.5703125" style="1" customWidth="1"/>
    <col min="14" max="14" width="9.140625" style="1"/>
    <col min="15" max="15" width="19.140625" style="1" customWidth="1"/>
    <col min="16" max="16" width="17.140625" style="1" customWidth="1"/>
    <col min="17" max="17" width="14.140625" style="1" customWidth="1"/>
    <col min="18" max="18" width="14" style="1" customWidth="1"/>
    <col min="19" max="19" width="15.7109375" style="1" customWidth="1"/>
    <col min="20" max="20" width="16.42578125" style="1" customWidth="1"/>
    <col min="21" max="16384" width="9.140625" style="1"/>
  </cols>
  <sheetData>
    <row r="1" spans="1:20" ht="35.25" customHeight="1" x14ac:dyDescent="0.25">
      <c r="A1" s="1" t="s">
        <v>0</v>
      </c>
    </row>
    <row r="2" spans="1:20" ht="15" customHeight="1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ht="15.75" customHeight="1" x14ac:dyDescent="0.25">
      <c r="B3" s="1" t="s">
        <v>21</v>
      </c>
      <c r="C3" s="1">
        <v>38</v>
      </c>
      <c r="D3" s="1">
        <v>23</v>
      </c>
      <c r="E3" s="1">
        <v>5</v>
      </c>
      <c r="F3" s="1">
        <v>0</v>
      </c>
      <c r="G3" s="1">
        <v>10</v>
      </c>
      <c r="H3" s="1">
        <v>7</v>
      </c>
      <c r="I3" s="1">
        <v>8</v>
      </c>
      <c r="J3" s="1">
        <v>0</v>
      </c>
      <c r="K3" s="1">
        <v>10</v>
      </c>
      <c r="L3" s="1">
        <f>SUM(K3,J3,I3,H3,G3,F3,E3,D3,C3)</f>
        <v>101</v>
      </c>
      <c r="M3" s="1">
        <v>60</v>
      </c>
      <c r="N3" s="1">
        <f>AVERAGE(M3,L3)</f>
        <v>80.5</v>
      </c>
    </row>
    <row r="4" spans="1:20" x14ac:dyDescent="0.25">
      <c r="B4" s="1" t="s">
        <v>22</v>
      </c>
      <c r="C4" s="1">
        <v>19</v>
      </c>
      <c r="D4" s="1">
        <v>37</v>
      </c>
      <c r="E4" s="1">
        <v>5</v>
      </c>
      <c r="F4" s="1">
        <v>5</v>
      </c>
      <c r="G4" s="1">
        <v>10</v>
      </c>
      <c r="H4" s="1">
        <v>2</v>
      </c>
      <c r="I4" s="1">
        <v>2</v>
      </c>
      <c r="J4" s="1">
        <v>0</v>
      </c>
      <c r="K4" s="1">
        <v>0</v>
      </c>
      <c r="L4" s="1">
        <f>SUM(C4:K4)</f>
        <v>80</v>
      </c>
      <c r="M4" s="1">
        <v>50</v>
      </c>
      <c r="N4" s="1">
        <f t="shared" ref="N4:N7" si="0">AVERAGE(M4,L4)</f>
        <v>65</v>
      </c>
    </row>
    <row r="5" spans="1:20" ht="15.75" customHeight="1" x14ac:dyDescent="0.25">
      <c r="B5" s="1" t="s">
        <v>23</v>
      </c>
      <c r="C5" s="1">
        <v>21</v>
      </c>
      <c r="D5" s="1">
        <v>21</v>
      </c>
      <c r="E5" s="1">
        <v>0</v>
      </c>
      <c r="F5" s="1">
        <v>5</v>
      </c>
      <c r="G5" s="1">
        <v>5</v>
      </c>
      <c r="H5" s="1">
        <v>3</v>
      </c>
      <c r="I5" s="1">
        <v>2</v>
      </c>
      <c r="J5" s="1">
        <v>5</v>
      </c>
      <c r="K5" s="1">
        <v>5</v>
      </c>
      <c r="L5" s="1">
        <f t="shared" ref="L5:L7" si="1">SUM(K5,J5,I5,H5,G5,F5,E5,D5,C5)</f>
        <v>67</v>
      </c>
      <c r="M5" s="1">
        <v>60</v>
      </c>
      <c r="N5" s="1">
        <f t="shared" si="0"/>
        <v>63.5</v>
      </c>
    </row>
    <row r="6" spans="1:20" x14ac:dyDescent="0.25">
      <c r="B6" s="1" t="s">
        <v>24</v>
      </c>
      <c r="C6" s="1">
        <v>20</v>
      </c>
      <c r="D6" s="1">
        <v>40</v>
      </c>
      <c r="E6" s="1">
        <v>5</v>
      </c>
      <c r="F6" s="1">
        <v>5</v>
      </c>
      <c r="G6" s="1">
        <v>5</v>
      </c>
      <c r="H6" s="1">
        <v>1</v>
      </c>
      <c r="I6" s="1">
        <v>4</v>
      </c>
      <c r="J6" s="1">
        <v>0</v>
      </c>
      <c r="K6" s="1">
        <v>10</v>
      </c>
      <c r="L6" s="1">
        <f t="shared" si="1"/>
        <v>90</v>
      </c>
      <c r="M6" s="1">
        <v>40</v>
      </c>
      <c r="N6" s="1">
        <f t="shared" si="0"/>
        <v>65</v>
      </c>
    </row>
    <row r="7" spans="1:20" x14ac:dyDescent="0.25">
      <c r="B7" s="1" t="s">
        <v>25</v>
      </c>
      <c r="C7" s="1">
        <v>39</v>
      </c>
      <c r="D7" s="1">
        <v>26</v>
      </c>
      <c r="E7" s="1">
        <v>0</v>
      </c>
      <c r="F7" s="1">
        <v>5</v>
      </c>
      <c r="G7" s="1">
        <v>0</v>
      </c>
      <c r="H7" s="1">
        <v>2</v>
      </c>
      <c r="I7" s="1">
        <v>2</v>
      </c>
      <c r="J7" s="1">
        <v>5</v>
      </c>
      <c r="K7" s="1">
        <v>0</v>
      </c>
      <c r="L7" s="1">
        <f t="shared" si="1"/>
        <v>79</v>
      </c>
      <c r="M7" s="1">
        <v>40</v>
      </c>
      <c r="N7" s="1">
        <f t="shared" si="0"/>
        <v>59.5</v>
      </c>
    </row>
    <row r="8" spans="1:20" ht="15" customHeight="1" x14ac:dyDescent="0.25">
      <c r="A8" s="1" t="s">
        <v>39</v>
      </c>
      <c r="B8" s="1" t="s">
        <v>38</v>
      </c>
      <c r="O8" s="1">
        <f>AVERAGE(N3,N4,N5,N6,N7)</f>
        <v>66.7</v>
      </c>
      <c r="P8" s="1">
        <v>27.75</v>
      </c>
      <c r="Q8" s="1">
        <v>39.5</v>
      </c>
      <c r="R8" s="1">
        <f>AVERAGE(M3,M4,M5,M6,M7)</f>
        <v>50</v>
      </c>
      <c r="S8" s="1">
        <f>SUM(Q8,P8)</f>
        <v>67.25</v>
      </c>
      <c r="T8" s="1">
        <f>AVERAGE(S8,O8)</f>
        <v>66.974999999999994</v>
      </c>
    </row>
    <row r="9" spans="1:20" ht="15.75" customHeight="1" x14ac:dyDescent="0.25"/>
    <row r="10" spans="1:20" x14ac:dyDescent="0.25">
      <c r="B10" s="1" t="s">
        <v>37</v>
      </c>
      <c r="L10" s="1">
        <f>SUM(K10,J10,I10,H10,G10,F10,E10,D10,C10)</f>
        <v>0</v>
      </c>
      <c r="M10" s="1">
        <v>60</v>
      </c>
      <c r="N10" s="1">
        <f>AVERAGE(M10,L10)</f>
        <v>30</v>
      </c>
    </row>
    <row r="11" spans="1:20" ht="15" customHeight="1" x14ac:dyDescent="0.25">
      <c r="B11" s="1" t="s">
        <v>40</v>
      </c>
      <c r="L11" s="1">
        <f>SUM(C11:K11)</f>
        <v>0</v>
      </c>
      <c r="M11" s="1">
        <v>50</v>
      </c>
      <c r="N11" s="1">
        <f t="shared" ref="N11:N14" si="2">AVERAGE(M11,L11)</f>
        <v>25</v>
      </c>
    </row>
    <row r="12" spans="1:20" ht="15.75" customHeight="1" x14ac:dyDescent="0.25">
      <c r="B12" s="1" t="s">
        <v>41</v>
      </c>
      <c r="L12" s="1">
        <f t="shared" ref="L12:L14" si="3">SUM(K12,J12,I12,H12,G12,F12,E12,D12,C12)</f>
        <v>0</v>
      </c>
      <c r="M12" s="1">
        <v>60</v>
      </c>
      <c r="N12" s="1">
        <f t="shared" si="2"/>
        <v>30</v>
      </c>
    </row>
    <row r="13" spans="1:20" x14ac:dyDescent="0.25">
      <c r="B13" s="1" t="s">
        <v>42</v>
      </c>
      <c r="L13" s="1">
        <f t="shared" si="3"/>
        <v>0</v>
      </c>
      <c r="M13" s="1">
        <v>40</v>
      </c>
      <c r="N13" s="1">
        <f t="shared" si="2"/>
        <v>20</v>
      </c>
    </row>
    <row r="14" spans="1:20" x14ac:dyDescent="0.25">
      <c r="B14" s="1" t="s">
        <v>43</v>
      </c>
      <c r="L14" s="1">
        <f t="shared" si="3"/>
        <v>0</v>
      </c>
      <c r="M14" s="1">
        <v>40</v>
      </c>
      <c r="N14" s="1">
        <f t="shared" si="2"/>
        <v>20</v>
      </c>
    </row>
    <row r="15" spans="1:20" x14ac:dyDescent="0.25">
      <c r="A15" s="1" t="s">
        <v>39</v>
      </c>
      <c r="B15" s="1" t="s">
        <v>44</v>
      </c>
      <c r="O15" s="1">
        <f>AVERAGE(N10,N11,N12,N13,N14)</f>
        <v>25</v>
      </c>
      <c r="P15" s="1">
        <v>27.75</v>
      </c>
      <c r="Q15" s="1">
        <v>39.5</v>
      </c>
      <c r="R15" s="1">
        <f>AVERAGE(M10,M11,M12,M13,M14)</f>
        <v>50</v>
      </c>
      <c r="S15" s="1">
        <f>SUM(Q15,P15)</f>
        <v>67.25</v>
      </c>
      <c r="T15" s="1">
        <f>AVERAGE(S15,O15)</f>
        <v>46.125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topLeftCell="B1" workbookViewId="0">
      <selection activeCell="L20" sqref="L20"/>
    </sheetView>
  </sheetViews>
  <sheetFormatPr defaultRowHeight="15" x14ac:dyDescent="0.25"/>
  <cols>
    <col min="1" max="1" width="15.5703125" style="1" customWidth="1"/>
    <col min="2" max="19" width="9.140625" style="1"/>
    <col min="20" max="20" width="14.5703125" style="1" customWidth="1"/>
    <col min="21" max="16384" width="9.140625" style="1"/>
  </cols>
  <sheetData>
    <row r="1" spans="1:20" x14ac:dyDescent="0.25">
      <c r="A1" s="1" t="s">
        <v>20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38</v>
      </c>
      <c r="D3" s="1">
        <v>28</v>
      </c>
      <c r="E3" s="1">
        <v>10</v>
      </c>
      <c r="F3" s="1">
        <v>0</v>
      </c>
      <c r="G3" s="1">
        <v>10</v>
      </c>
      <c r="H3" s="1">
        <v>6</v>
      </c>
      <c r="I3" s="1">
        <v>6</v>
      </c>
      <c r="J3" s="1">
        <v>0</v>
      </c>
      <c r="K3" s="1">
        <v>0</v>
      </c>
      <c r="L3" s="1">
        <f>SUM(K3,J3,I3,H3,G3,F3,E3,D3,C3)</f>
        <v>98</v>
      </c>
      <c r="M3" s="1">
        <v>60</v>
      </c>
      <c r="N3" s="1">
        <f>AVERAGE(M3,L3)</f>
        <v>79</v>
      </c>
    </row>
    <row r="4" spans="1:20" x14ac:dyDescent="0.25">
      <c r="B4" s="1" t="s">
        <v>22</v>
      </c>
      <c r="C4" s="1">
        <v>30</v>
      </c>
      <c r="D4" s="1">
        <v>28</v>
      </c>
      <c r="E4" s="1">
        <v>5</v>
      </c>
      <c r="F4" s="1">
        <v>0</v>
      </c>
      <c r="G4" s="1">
        <v>0</v>
      </c>
      <c r="H4" s="1">
        <v>7</v>
      </c>
      <c r="I4" s="1">
        <v>4</v>
      </c>
      <c r="J4" s="1">
        <v>10</v>
      </c>
      <c r="K4" s="1">
        <v>0</v>
      </c>
      <c r="L4" s="1">
        <f>SUM(C4:K4)</f>
        <v>84</v>
      </c>
      <c r="M4" s="1">
        <v>45</v>
      </c>
      <c r="N4" s="1">
        <f t="shared" ref="N4:N7" si="0">AVERAGE(M4,L4)</f>
        <v>64.5</v>
      </c>
    </row>
    <row r="5" spans="1:20" x14ac:dyDescent="0.25">
      <c r="B5" s="1" t="s">
        <v>23</v>
      </c>
      <c r="C5" s="1">
        <v>30</v>
      </c>
      <c r="D5" s="1">
        <v>39</v>
      </c>
      <c r="E5" s="1">
        <v>10</v>
      </c>
      <c r="F5" s="1">
        <v>5</v>
      </c>
      <c r="G5" s="1">
        <v>5</v>
      </c>
      <c r="H5" s="1">
        <v>7</v>
      </c>
      <c r="I5" s="1">
        <v>8</v>
      </c>
      <c r="J5" s="1">
        <v>0</v>
      </c>
      <c r="K5" s="1">
        <v>10</v>
      </c>
      <c r="L5" s="1">
        <f t="shared" ref="L5:L7" si="1">SUM(K5,J5,I5,H5,G5,F5,E5,D5,C5)</f>
        <v>114</v>
      </c>
      <c r="M5" s="1">
        <v>60</v>
      </c>
      <c r="N5" s="1">
        <f t="shared" si="0"/>
        <v>87</v>
      </c>
    </row>
    <row r="6" spans="1:20" x14ac:dyDescent="0.25">
      <c r="B6" s="1" t="s">
        <v>24</v>
      </c>
      <c r="C6" s="1">
        <v>28</v>
      </c>
      <c r="D6" s="1">
        <v>30</v>
      </c>
      <c r="E6" s="1">
        <v>10</v>
      </c>
      <c r="F6" s="1">
        <v>5</v>
      </c>
      <c r="G6" s="1">
        <v>0</v>
      </c>
      <c r="H6" s="1">
        <v>7</v>
      </c>
      <c r="I6" s="1">
        <v>4</v>
      </c>
      <c r="J6" s="1">
        <v>7</v>
      </c>
      <c r="K6" s="1">
        <v>5</v>
      </c>
      <c r="L6" s="1">
        <f t="shared" si="1"/>
        <v>96</v>
      </c>
      <c r="M6" s="1">
        <v>55</v>
      </c>
      <c r="N6" s="1">
        <f t="shared" si="0"/>
        <v>75.5</v>
      </c>
    </row>
    <row r="7" spans="1:20" x14ac:dyDescent="0.25">
      <c r="B7" s="1" t="s">
        <v>25</v>
      </c>
      <c r="C7" s="1">
        <v>39</v>
      </c>
      <c r="D7" s="1">
        <v>26</v>
      </c>
      <c r="E7" s="1">
        <v>0</v>
      </c>
      <c r="F7" s="1">
        <v>5</v>
      </c>
      <c r="G7" s="1">
        <v>0</v>
      </c>
      <c r="H7" s="1">
        <v>2</v>
      </c>
      <c r="I7" s="1">
        <v>2</v>
      </c>
      <c r="J7" s="1">
        <v>5</v>
      </c>
      <c r="K7" s="1">
        <v>0</v>
      </c>
      <c r="L7" s="1">
        <f t="shared" si="1"/>
        <v>79</v>
      </c>
      <c r="M7" s="1">
        <v>40</v>
      </c>
      <c r="N7" s="1">
        <f t="shared" si="0"/>
        <v>59.5</v>
      </c>
    </row>
    <row r="8" spans="1:20" x14ac:dyDescent="0.25">
      <c r="A8" s="1" t="s">
        <v>39</v>
      </c>
      <c r="B8" s="1" t="s">
        <v>38</v>
      </c>
      <c r="O8" s="1">
        <f>AVERAGE(N3,N4,N5,N6,N7)</f>
        <v>73.099999999999994</v>
      </c>
      <c r="P8" s="1">
        <v>37</v>
      </c>
      <c r="Q8" s="1">
        <v>47.5</v>
      </c>
      <c r="R8" s="1">
        <f>AVERAGE(M3,M4,M5,M6,M7)</f>
        <v>52</v>
      </c>
      <c r="S8" s="1">
        <f>SUM(Q8,P8)</f>
        <v>84.5</v>
      </c>
      <c r="T8" s="1">
        <f>AVERAGE(S8,O8)</f>
        <v>78.8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60</v>
      </c>
      <c r="N10" s="1">
        <f>AVERAGE(M10,L10)</f>
        <v>30</v>
      </c>
    </row>
    <row r="11" spans="1:20" x14ac:dyDescent="0.25">
      <c r="B11" s="1" t="s">
        <v>40</v>
      </c>
      <c r="L11" s="1">
        <f>SUM(C11:K11)</f>
        <v>0</v>
      </c>
      <c r="M11" s="1">
        <v>45</v>
      </c>
      <c r="N11" s="1">
        <f t="shared" ref="N11:N14" si="2">AVERAGE(M11,L11)</f>
        <v>22.5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60</v>
      </c>
      <c r="N12" s="1">
        <f t="shared" si="2"/>
        <v>30</v>
      </c>
    </row>
    <row r="13" spans="1:20" x14ac:dyDescent="0.25">
      <c r="B13" s="1" t="s">
        <v>42</v>
      </c>
      <c r="L13" s="1">
        <f t="shared" si="3"/>
        <v>0</v>
      </c>
      <c r="M13" s="1">
        <v>55</v>
      </c>
      <c r="N13" s="1">
        <f t="shared" si="2"/>
        <v>27.5</v>
      </c>
    </row>
    <row r="14" spans="1:20" x14ac:dyDescent="0.25">
      <c r="B14" s="1" t="s">
        <v>43</v>
      </c>
      <c r="L14" s="1">
        <f t="shared" si="3"/>
        <v>0</v>
      </c>
      <c r="M14" s="1">
        <v>40</v>
      </c>
      <c r="N14" s="1">
        <f t="shared" si="2"/>
        <v>20</v>
      </c>
    </row>
    <row r="15" spans="1:20" x14ac:dyDescent="0.25">
      <c r="A15" s="1" t="s">
        <v>39</v>
      </c>
      <c r="B15" s="1" t="s">
        <v>44</v>
      </c>
      <c r="O15" s="1">
        <f>AVERAGE(N10,N11,N12,N13,N14)</f>
        <v>26</v>
      </c>
      <c r="P15" s="1">
        <v>37</v>
      </c>
      <c r="Q15" s="1">
        <v>47.5</v>
      </c>
      <c r="R15" s="1">
        <f>AVERAGE(M10,M11,M12,M13,M14)</f>
        <v>52</v>
      </c>
      <c r="S15" s="1">
        <f>SUM(Q15,P15)</f>
        <v>84.5</v>
      </c>
      <c r="T15" s="1">
        <f>AVERAGE(S15,O15)</f>
        <v>55.25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F18" sqref="F18"/>
    </sheetView>
  </sheetViews>
  <sheetFormatPr defaultRowHeight="15" x14ac:dyDescent="0.25"/>
  <cols>
    <col min="1" max="1" width="13.42578125" style="1" customWidth="1"/>
    <col min="2" max="19" width="9.140625" style="1"/>
    <col min="20" max="20" width="14.5703125" style="1" customWidth="1"/>
    <col min="21" max="16384" width="9.140625" style="1"/>
  </cols>
  <sheetData>
    <row r="1" spans="1:20" x14ac:dyDescent="0.25">
      <c r="A1" s="1" t="s">
        <v>26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35</v>
      </c>
      <c r="D3" s="1">
        <v>33</v>
      </c>
      <c r="E3" s="1">
        <v>10</v>
      </c>
      <c r="F3" s="1">
        <v>5</v>
      </c>
      <c r="G3" s="1">
        <v>0</v>
      </c>
      <c r="H3" s="1">
        <v>7</v>
      </c>
      <c r="I3" s="1">
        <v>8</v>
      </c>
      <c r="J3" s="1">
        <v>5</v>
      </c>
      <c r="K3" s="1">
        <v>10</v>
      </c>
      <c r="L3" s="1">
        <f>SUM(K3,J3,I3,H3,G3,F3,E3,D3,C3)</f>
        <v>113</v>
      </c>
      <c r="M3" s="1">
        <v>60</v>
      </c>
      <c r="N3" s="1">
        <f>AVERAGE(M3,L3)</f>
        <v>86.5</v>
      </c>
    </row>
    <row r="4" spans="1:20" x14ac:dyDescent="0.25">
      <c r="B4" s="1" t="s">
        <v>22</v>
      </c>
      <c r="C4" s="1">
        <v>40</v>
      </c>
      <c r="D4" s="1">
        <v>34</v>
      </c>
      <c r="E4" s="1">
        <v>5</v>
      </c>
      <c r="F4" s="1">
        <v>5</v>
      </c>
      <c r="G4" s="1">
        <v>5</v>
      </c>
      <c r="H4" s="1">
        <v>5</v>
      </c>
      <c r="I4" s="1">
        <v>6</v>
      </c>
      <c r="J4" s="1">
        <v>0</v>
      </c>
      <c r="K4" s="1">
        <v>5</v>
      </c>
      <c r="L4" s="1">
        <f>SUM(C4:K4)</f>
        <v>105</v>
      </c>
      <c r="M4" s="1">
        <v>50</v>
      </c>
      <c r="N4" s="1">
        <f t="shared" ref="N4:N7" si="0">AVERAGE(M4,L4)</f>
        <v>77.5</v>
      </c>
    </row>
    <row r="5" spans="1:20" x14ac:dyDescent="0.25">
      <c r="B5" s="1" t="s">
        <v>23</v>
      </c>
      <c r="C5" s="1">
        <v>31</v>
      </c>
      <c r="D5" s="1">
        <v>26</v>
      </c>
      <c r="E5" s="1">
        <v>5</v>
      </c>
      <c r="F5" s="1">
        <v>2.5</v>
      </c>
      <c r="G5" s="1">
        <v>5</v>
      </c>
      <c r="H5" s="1">
        <v>7</v>
      </c>
      <c r="I5" s="1">
        <v>4</v>
      </c>
      <c r="J5" s="1">
        <v>5</v>
      </c>
      <c r="K5" s="1">
        <v>7</v>
      </c>
      <c r="L5" s="1">
        <f t="shared" ref="L5:L7" si="1">SUM(K5,J5,I5,H5,G5,F5,E5,D5,C5)</f>
        <v>92.5</v>
      </c>
      <c r="M5" s="1">
        <v>60</v>
      </c>
      <c r="N5" s="1">
        <f t="shared" si="0"/>
        <v>76.25</v>
      </c>
    </row>
    <row r="6" spans="1:20" x14ac:dyDescent="0.25">
      <c r="B6" s="1" t="s">
        <v>24</v>
      </c>
      <c r="C6" s="1">
        <v>40</v>
      </c>
      <c r="D6" s="1">
        <v>31</v>
      </c>
      <c r="E6" s="1">
        <v>5</v>
      </c>
      <c r="F6" s="1">
        <v>5</v>
      </c>
      <c r="G6" s="1">
        <v>0</v>
      </c>
      <c r="H6" s="1">
        <v>4</v>
      </c>
      <c r="I6" s="1">
        <v>4</v>
      </c>
      <c r="J6" s="1">
        <v>0</v>
      </c>
      <c r="K6" s="1">
        <v>5</v>
      </c>
      <c r="L6" s="1">
        <f t="shared" si="1"/>
        <v>94</v>
      </c>
      <c r="M6" s="1">
        <v>35</v>
      </c>
      <c r="N6" s="1">
        <f t="shared" si="0"/>
        <v>64.5</v>
      </c>
    </row>
    <row r="7" spans="1:20" x14ac:dyDescent="0.25">
      <c r="B7" s="1" t="s">
        <v>25</v>
      </c>
      <c r="C7" s="1">
        <v>40</v>
      </c>
      <c r="D7" s="1">
        <v>26</v>
      </c>
      <c r="E7" s="1">
        <v>10</v>
      </c>
      <c r="F7" s="1">
        <v>5</v>
      </c>
      <c r="G7" s="1">
        <v>0</v>
      </c>
      <c r="H7" s="1">
        <v>7</v>
      </c>
      <c r="I7" s="1">
        <v>2</v>
      </c>
      <c r="J7" s="1">
        <v>0</v>
      </c>
      <c r="K7" s="1">
        <v>0</v>
      </c>
      <c r="L7" s="1">
        <f t="shared" si="1"/>
        <v>90</v>
      </c>
      <c r="M7" s="1">
        <v>50</v>
      </c>
      <c r="N7" s="1">
        <f t="shared" si="0"/>
        <v>70</v>
      </c>
    </row>
    <row r="8" spans="1:20" x14ac:dyDescent="0.25">
      <c r="A8" s="1" t="s">
        <v>39</v>
      </c>
      <c r="B8" s="1" t="s">
        <v>38</v>
      </c>
      <c r="O8" s="1">
        <f>AVERAGE(N3,N4,N5,N6,N7)</f>
        <v>74.95</v>
      </c>
      <c r="P8" s="1">
        <v>38</v>
      </c>
      <c r="Q8" s="1">
        <v>45</v>
      </c>
      <c r="R8" s="1">
        <f>AVERAGE(M3,M4,M5,M6,M7)</f>
        <v>51</v>
      </c>
      <c r="S8" s="1">
        <f>SUM(Q8,P8)</f>
        <v>83</v>
      </c>
      <c r="T8" s="1">
        <f>AVERAGE(S8,O8)</f>
        <v>78.974999999999994</v>
      </c>
    </row>
    <row r="10" spans="1:20" x14ac:dyDescent="0.25">
      <c r="B10" s="1" t="s">
        <v>37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0</v>
      </c>
      <c r="J10" s="1">
        <v>80</v>
      </c>
      <c r="L10" s="1">
        <f>SUM(K10,J10,I10,H10,G10,F10,E10,D10,C10)</f>
        <v>140</v>
      </c>
      <c r="M10" s="1">
        <v>60</v>
      </c>
      <c r="N10" s="1">
        <f>AVERAGE(M10,L10)</f>
        <v>100</v>
      </c>
    </row>
    <row r="11" spans="1:20" x14ac:dyDescent="0.25">
      <c r="B11" s="1" t="s">
        <v>40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0</v>
      </c>
      <c r="J11" s="1">
        <v>80</v>
      </c>
      <c r="L11" s="1">
        <f>SUM(C11:K11)</f>
        <v>140</v>
      </c>
      <c r="M11" s="1">
        <v>60</v>
      </c>
      <c r="N11" s="1">
        <f t="shared" ref="N11:N14" si="2">AVERAGE(M11,L11)</f>
        <v>100</v>
      </c>
    </row>
    <row r="12" spans="1:20" x14ac:dyDescent="0.25">
      <c r="B12" s="1" t="s">
        <v>41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0</v>
      </c>
      <c r="J12" s="1">
        <v>80</v>
      </c>
      <c r="L12" s="1">
        <f t="shared" ref="L12:L14" si="3">SUM(K12,J12,I12,H12,G12,F12,E12,D12,C12)</f>
        <v>140</v>
      </c>
      <c r="M12" s="1">
        <v>60</v>
      </c>
      <c r="N12" s="1">
        <f t="shared" si="2"/>
        <v>100</v>
      </c>
    </row>
    <row r="13" spans="1:20" x14ac:dyDescent="0.25">
      <c r="B13" s="1" t="s">
        <v>42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0</v>
      </c>
      <c r="J13" s="1">
        <v>80</v>
      </c>
      <c r="L13" s="1">
        <f t="shared" si="3"/>
        <v>140</v>
      </c>
      <c r="M13" s="1">
        <v>60</v>
      </c>
      <c r="N13" s="1">
        <f t="shared" si="2"/>
        <v>100</v>
      </c>
    </row>
    <row r="14" spans="1:20" x14ac:dyDescent="0.25">
      <c r="B14" s="1" t="s">
        <v>43</v>
      </c>
      <c r="C14" s="1">
        <v>10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0</v>
      </c>
      <c r="J14" s="1">
        <v>80</v>
      </c>
      <c r="L14" s="1">
        <f t="shared" si="3"/>
        <v>140</v>
      </c>
      <c r="M14" s="1">
        <v>60</v>
      </c>
      <c r="N14" s="1">
        <f t="shared" si="2"/>
        <v>100</v>
      </c>
    </row>
    <row r="15" spans="1:20" x14ac:dyDescent="0.25">
      <c r="A15" s="1" t="s">
        <v>39</v>
      </c>
      <c r="B15" s="1" t="s">
        <v>44</v>
      </c>
      <c r="O15" s="1">
        <f>AVERAGE(N10,N11,N12,N13,N14)</f>
        <v>100</v>
      </c>
      <c r="P15" s="1">
        <v>50</v>
      </c>
      <c r="Q15" s="1">
        <v>50</v>
      </c>
      <c r="R15" s="1">
        <f>AVERAGE(M10,M11,M12,M13,M14)</f>
        <v>60</v>
      </c>
      <c r="S15" s="1">
        <f>SUM(Q15,P15)</f>
        <v>100</v>
      </c>
      <c r="T15" s="1">
        <f>AVERAGE(S15,O15)</f>
        <v>100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topLeftCell="B1" workbookViewId="0">
      <selection activeCell="R8" sqref="R8"/>
    </sheetView>
  </sheetViews>
  <sheetFormatPr defaultRowHeight="15" x14ac:dyDescent="0.25"/>
  <cols>
    <col min="1" max="19" width="9.140625" style="1"/>
    <col min="20" max="20" width="14.5703125" style="1" customWidth="1"/>
    <col min="21" max="16384" width="9.140625" style="1"/>
  </cols>
  <sheetData>
    <row r="1" spans="1:20" x14ac:dyDescent="0.25">
      <c r="A1" s="1" t="s">
        <v>27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22</v>
      </c>
      <c r="D3" s="1">
        <v>35</v>
      </c>
      <c r="E3" s="1">
        <v>5</v>
      </c>
      <c r="F3" s="1">
        <v>0</v>
      </c>
      <c r="G3" s="1">
        <v>10</v>
      </c>
      <c r="H3" s="1">
        <v>5</v>
      </c>
      <c r="I3" s="1">
        <v>8</v>
      </c>
      <c r="J3" s="1">
        <v>0</v>
      </c>
      <c r="K3" s="1">
        <v>10</v>
      </c>
      <c r="L3" s="1">
        <f>SUM(K3,J3,I3,H3,G3,F3,E3,D3,C3)</f>
        <v>95</v>
      </c>
      <c r="M3" s="1">
        <v>60</v>
      </c>
      <c r="N3" s="1">
        <f>AVERAGE(M3,L3)</f>
        <v>77.5</v>
      </c>
    </row>
    <row r="4" spans="1:20" x14ac:dyDescent="0.25">
      <c r="B4" s="1" t="s">
        <v>22</v>
      </c>
      <c r="C4" s="1">
        <v>37</v>
      </c>
      <c r="D4" s="1">
        <v>33</v>
      </c>
      <c r="E4" s="1">
        <v>10</v>
      </c>
      <c r="F4" s="1">
        <v>0</v>
      </c>
      <c r="G4" s="1">
        <v>5</v>
      </c>
      <c r="H4" s="1">
        <v>6</v>
      </c>
      <c r="I4" s="1">
        <v>8</v>
      </c>
      <c r="J4" s="1">
        <v>10</v>
      </c>
      <c r="K4" s="1">
        <v>10</v>
      </c>
      <c r="L4" s="1">
        <f>SUM(C4:K4)</f>
        <v>119</v>
      </c>
      <c r="M4" s="1">
        <v>55</v>
      </c>
      <c r="N4" s="1">
        <f t="shared" ref="N4:N7" si="0">AVERAGE(M4,L4)</f>
        <v>87</v>
      </c>
    </row>
    <row r="5" spans="1:20" x14ac:dyDescent="0.25">
      <c r="B5" s="1" t="s">
        <v>23</v>
      </c>
      <c r="C5" s="1">
        <v>40</v>
      </c>
      <c r="D5" s="1">
        <v>20</v>
      </c>
      <c r="E5" s="1">
        <v>10</v>
      </c>
      <c r="F5" s="1">
        <v>5</v>
      </c>
      <c r="G5" s="1">
        <v>5</v>
      </c>
      <c r="H5" s="1">
        <v>4</v>
      </c>
      <c r="I5" s="1">
        <v>8</v>
      </c>
      <c r="J5" s="1">
        <v>5</v>
      </c>
      <c r="K5" s="1">
        <v>5</v>
      </c>
      <c r="L5" s="1">
        <f t="shared" ref="L5:L7" si="1">SUM(K5,J5,I5,H5,G5,F5,E5,D5,C5)</f>
        <v>102</v>
      </c>
      <c r="M5" s="1">
        <v>60</v>
      </c>
      <c r="N5" s="1">
        <f t="shared" si="0"/>
        <v>81</v>
      </c>
    </row>
    <row r="6" spans="1:20" x14ac:dyDescent="0.25">
      <c r="B6" s="1" t="s">
        <v>24</v>
      </c>
      <c r="C6" s="1">
        <v>28</v>
      </c>
      <c r="D6" s="1">
        <v>16</v>
      </c>
      <c r="E6" s="1">
        <v>0</v>
      </c>
      <c r="F6" s="1">
        <v>5</v>
      </c>
      <c r="G6" s="1">
        <v>0</v>
      </c>
      <c r="H6" s="1">
        <v>5</v>
      </c>
      <c r="I6" s="1">
        <v>6</v>
      </c>
      <c r="J6" s="1">
        <v>5</v>
      </c>
      <c r="K6" s="1">
        <v>10</v>
      </c>
      <c r="L6" s="1">
        <f t="shared" si="1"/>
        <v>75</v>
      </c>
      <c r="M6" s="1">
        <v>60</v>
      </c>
      <c r="N6" s="1">
        <f t="shared" si="0"/>
        <v>67.5</v>
      </c>
    </row>
    <row r="7" spans="1:20" x14ac:dyDescent="0.25">
      <c r="B7" s="1" t="s">
        <v>25</v>
      </c>
      <c r="C7" s="1">
        <v>38</v>
      </c>
      <c r="D7" s="1">
        <v>21</v>
      </c>
      <c r="E7" s="1">
        <v>5</v>
      </c>
      <c r="F7" s="1">
        <v>5</v>
      </c>
      <c r="G7" s="1">
        <v>0</v>
      </c>
      <c r="H7" s="1">
        <v>2</v>
      </c>
      <c r="I7" s="1">
        <v>6</v>
      </c>
      <c r="J7" s="1">
        <v>0</v>
      </c>
      <c r="K7" s="1">
        <v>5</v>
      </c>
      <c r="L7" s="1">
        <f t="shared" si="1"/>
        <v>82</v>
      </c>
      <c r="M7" s="1">
        <v>60</v>
      </c>
      <c r="N7" s="1">
        <f t="shared" si="0"/>
        <v>71</v>
      </c>
    </row>
    <row r="8" spans="1:20" x14ac:dyDescent="0.25">
      <c r="A8" s="1" t="s">
        <v>39</v>
      </c>
      <c r="B8" s="1" t="s">
        <v>38</v>
      </c>
      <c r="O8" s="1">
        <f>AVERAGE(N3,N4,N5,N6,N7)</f>
        <v>76.8</v>
      </c>
      <c r="P8" s="1">
        <v>34</v>
      </c>
      <c r="Q8" s="1">
        <v>44</v>
      </c>
      <c r="R8" s="1">
        <f>AVERAGE(M3,M4,M5,M6,M7)</f>
        <v>59</v>
      </c>
      <c r="S8" s="1">
        <f>SUM(Q8,P8)</f>
        <v>78</v>
      </c>
      <c r="T8" s="1">
        <f>AVERAGE(S8,O8)</f>
        <v>77.400000000000006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60</v>
      </c>
      <c r="N10" s="1">
        <f>AVERAGE(M10,L10)</f>
        <v>30</v>
      </c>
    </row>
    <row r="11" spans="1:20" x14ac:dyDescent="0.25">
      <c r="B11" s="1" t="s">
        <v>40</v>
      </c>
      <c r="L11" s="1">
        <f>SUM(C11:K11)</f>
        <v>0</v>
      </c>
      <c r="M11" s="1">
        <v>55</v>
      </c>
      <c r="N11" s="1">
        <f t="shared" ref="N11:N14" si="2">AVERAGE(M11,L11)</f>
        <v>27.5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60</v>
      </c>
      <c r="N12" s="1">
        <f t="shared" si="2"/>
        <v>30</v>
      </c>
    </row>
    <row r="13" spans="1:20" x14ac:dyDescent="0.25">
      <c r="B13" s="1" t="s">
        <v>42</v>
      </c>
      <c r="L13" s="1">
        <f t="shared" si="3"/>
        <v>0</v>
      </c>
      <c r="M13" s="1">
        <v>60</v>
      </c>
      <c r="N13" s="1">
        <f t="shared" si="2"/>
        <v>30</v>
      </c>
    </row>
    <row r="14" spans="1:20" x14ac:dyDescent="0.25">
      <c r="B14" s="1" t="s">
        <v>43</v>
      </c>
      <c r="L14" s="1">
        <f t="shared" si="3"/>
        <v>0</v>
      </c>
      <c r="M14" s="1">
        <v>60</v>
      </c>
      <c r="N14" s="1">
        <f t="shared" si="2"/>
        <v>30</v>
      </c>
    </row>
    <row r="15" spans="1:20" x14ac:dyDescent="0.25">
      <c r="A15" s="1" t="s">
        <v>39</v>
      </c>
      <c r="B15" s="1" t="s">
        <v>44</v>
      </c>
      <c r="O15" s="1">
        <f>AVERAGE(N10,N11,N12,N13,N14)</f>
        <v>29.5</v>
      </c>
      <c r="P15" s="1">
        <v>34</v>
      </c>
      <c r="Q15" s="1">
        <v>44</v>
      </c>
      <c r="R15" s="1">
        <f>AVERAGE(M10,M11,M12,M13,M14)</f>
        <v>59</v>
      </c>
      <c r="S15" s="1">
        <f>SUM(Q15,P15)</f>
        <v>78</v>
      </c>
      <c r="T15" s="1">
        <f>AVERAGE(S15,O15)</f>
        <v>53.75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N21" sqref="N21"/>
    </sheetView>
  </sheetViews>
  <sheetFormatPr defaultRowHeight="15" x14ac:dyDescent="0.25"/>
  <cols>
    <col min="1" max="1" width="13.140625" style="1" customWidth="1"/>
    <col min="2" max="19" width="9.140625" style="1"/>
    <col min="20" max="20" width="15" style="1" customWidth="1"/>
    <col min="21" max="16384" width="9.140625" style="1"/>
  </cols>
  <sheetData>
    <row r="1" spans="1:20" x14ac:dyDescent="0.25">
      <c r="A1" s="1" t="s">
        <v>28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23</v>
      </c>
      <c r="D3" s="1">
        <v>29</v>
      </c>
      <c r="E3" s="1">
        <v>5</v>
      </c>
      <c r="F3" s="1">
        <v>0</v>
      </c>
      <c r="G3" s="1">
        <v>0</v>
      </c>
      <c r="H3" s="1">
        <v>0</v>
      </c>
      <c r="I3" s="1">
        <v>8</v>
      </c>
      <c r="J3" s="1">
        <v>5</v>
      </c>
      <c r="K3" s="1">
        <v>10</v>
      </c>
      <c r="L3" s="1">
        <f>SUM(K3,J3,I3,H3,G3,F3,E3,D3,C3)</f>
        <v>80</v>
      </c>
      <c r="M3" s="1">
        <v>45</v>
      </c>
      <c r="N3" s="1">
        <f>AVERAGE(M3,L3)</f>
        <v>62.5</v>
      </c>
    </row>
    <row r="4" spans="1:20" x14ac:dyDescent="0.25">
      <c r="B4" s="1" t="s">
        <v>22</v>
      </c>
      <c r="C4" s="1">
        <v>10</v>
      </c>
      <c r="D4" s="1">
        <v>33</v>
      </c>
      <c r="E4" s="1">
        <v>0</v>
      </c>
      <c r="F4" s="1">
        <v>0</v>
      </c>
      <c r="G4" s="1">
        <v>5</v>
      </c>
      <c r="H4" s="1">
        <v>0</v>
      </c>
      <c r="I4" s="1">
        <v>6</v>
      </c>
      <c r="J4" s="1">
        <v>0</v>
      </c>
      <c r="K4" s="1">
        <v>5</v>
      </c>
      <c r="L4" s="1">
        <f>SUM(C4:K4)</f>
        <v>59</v>
      </c>
      <c r="M4" s="1">
        <v>50</v>
      </c>
      <c r="N4" s="1">
        <f t="shared" ref="N4:N7" si="0">AVERAGE(M4,L4)</f>
        <v>54.5</v>
      </c>
    </row>
    <row r="5" spans="1:20" x14ac:dyDescent="0.25">
      <c r="B5" s="1" t="s">
        <v>23</v>
      </c>
      <c r="C5" s="1">
        <v>0</v>
      </c>
      <c r="D5" s="1">
        <v>0</v>
      </c>
      <c r="E5" s="1">
        <v>0</v>
      </c>
      <c r="F5" s="1">
        <v>5</v>
      </c>
      <c r="G5" s="1">
        <v>5</v>
      </c>
      <c r="H5" s="1">
        <v>2</v>
      </c>
      <c r="I5" s="1">
        <v>6</v>
      </c>
      <c r="J5" s="1">
        <v>0</v>
      </c>
      <c r="K5" s="1">
        <v>5</v>
      </c>
      <c r="L5" s="1">
        <f t="shared" ref="L5:L7" si="1">SUM(K5,J5,I5,H5,G5,F5,E5,D5,C5)</f>
        <v>23</v>
      </c>
      <c r="M5" s="1">
        <v>60</v>
      </c>
      <c r="N5" s="1">
        <f t="shared" si="0"/>
        <v>41.5</v>
      </c>
    </row>
    <row r="6" spans="1:20" x14ac:dyDescent="0.25">
      <c r="B6" s="1" t="s">
        <v>24</v>
      </c>
      <c r="C6" s="1">
        <v>22</v>
      </c>
      <c r="D6" s="1">
        <v>29</v>
      </c>
      <c r="E6" s="1">
        <v>5</v>
      </c>
      <c r="F6" s="1">
        <v>0</v>
      </c>
      <c r="G6" s="1">
        <v>5</v>
      </c>
      <c r="H6" s="1">
        <v>3</v>
      </c>
      <c r="I6" s="1">
        <v>6</v>
      </c>
      <c r="J6" s="1">
        <v>10</v>
      </c>
      <c r="K6" s="1">
        <v>5</v>
      </c>
      <c r="L6" s="1">
        <f t="shared" si="1"/>
        <v>85</v>
      </c>
      <c r="M6" s="1">
        <v>60</v>
      </c>
      <c r="N6" s="1">
        <f t="shared" si="0"/>
        <v>72.5</v>
      </c>
    </row>
    <row r="7" spans="1:20" x14ac:dyDescent="0.25">
      <c r="B7" s="1" t="s">
        <v>25</v>
      </c>
      <c r="C7" s="1">
        <v>25</v>
      </c>
      <c r="D7" s="1">
        <v>26</v>
      </c>
      <c r="E7" s="1">
        <v>5</v>
      </c>
      <c r="F7" s="1">
        <v>0</v>
      </c>
      <c r="G7" s="1">
        <v>0</v>
      </c>
      <c r="H7" s="1">
        <v>5</v>
      </c>
      <c r="I7" s="1">
        <v>2</v>
      </c>
      <c r="J7" s="1">
        <v>0</v>
      </c>
      <c r="K7" s="1">
        <v>10</v>
      </c>
      <c r="L7" s="1">
        <f t="shared" si="1"/>
        <v>73</v>
      </c>
      <c r="M7" s="1">
        <v>60</v>
      </c>
      <c r="N7" s="1">
        <f t="shared" si="0"/>
        <v>66.5</v>
      </c>
    </row>
    <row r="8" spans="1:20" x14ac:dyDescent="0.25">
      <c r="A8" s="1" t="s">
        <v>39</v>
      </c>
      <c r="B8" s="1" t="s">
        <v>38</v>
      </c>
      <c r="O8" s="1">
        <f>AVERAGE(N3,N4,N5,N6,N7)</f>
        <v>59.5</v>
      </c>
      <c r="P8" s="1">
        <v>29.25</v>
      </c>
      <c r="Q8" s="1">
        <v>38</v>
      </c>
      <c r="R8" s="1">
        <f>AVERAGE(M3,M4,M5,M6,M7)</f>
        <v>55</v>
      </c>
      <c r="S8" s="1">
        <f>SUM(Q8,P8)</f>
        <v>67.25</v>
      </c>
      <c r="T8" s="1">
        <f>AVERAGE(S8,O8)</f>
        <v>63.375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45</v>
      </c>
      <c r="N10" s="1">
        <f>AVERAGE(M10,L10)</f>
        <v>22.5</v>
      </c>
    </row>
    <row r="11" spans="1:20" x14ac:dyDescent="0.25">
      <c r="B11" s="1" t="s">
        <v>40</v>
      </c>
      <c r="L11" s="1">
        <f>SUM(C11:K11)</f>
        <v>0</v>
      </c>
      <c r="M11" s="1">
        <v>50</v>
      </c>
      <c r="N11" s="1">
        <f t="shared" ref="N11:N14" si="2">AVERAGE(M11,L11)</f>
        <v>25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60</v>
      </c>
      <c r="N12" s="1">
        <f t="shared" si="2"/>
        <v>30</v>
      </c>
    </row>
    <row r="13" spans="1:20" x14ac:dyDescent="0.25">
      <c r="B13" s="1" t="s">
        <v>42</v>
      </c>
      <c r="L13" s="1">
        <f t="shared" si="3"/>
        <v>0</v>
      </c>
      <c r="M13" s="1">
        <v>60</v>
      </c>
      <c r="N13" s="1">
        <f t="shared" si="2"/>
        <v>30</v>
      </c>
    </row>
    <row r="14" spans="1:20" x14ac:dyDescent="0.25">
      <c r="B14" s="1" t="s">
        <v>43</v>
      </c>
      <c r="L14" s="1">
        <f t="shared" si="3"/>
        <v>0</v>
      </c>
      <c r="M14" s="1">
        <v>60</v>
      </c>
      <c r="N14" s="1">
        <f t="shared" si="2"/>
        <v>30</v>
      </c>
    </row>
    <row r="15" spans="1:20" x14ac:dyDescent="0.25">
      <c r="A15" s="1" t="s">
        <v>39</v>
      </c>
      <c r="B15" s="1" t="s">
        <v>44</v>
      </c>
      <c r="O15" s="1">
        <f>AVERAGE(N10,N11,N12,N13,N14)</f>
        <v>27.5</v>
      </c>
      <c r="P15" s="1">
        <v>29.25</v>
      </c>
      <c r="Q15" s="1">
        <v>38</v>
      </c>
      <c r="R15" s="1">
        <f>AVERAGE(M10,M11,M12,M13,M14)</f>
        <v>55</v>
      </c>
      <c r="S15" s="1">
        <f>SUM(Q15,P15)</f>
        <v>67.25</v>
      </c>
      <c r="T15" s="1">
        <f>AVERAGE(S15,O15)</f>
        <v>47.375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Q22" sqref="Q22"/>
    </sheetView>
  </sheetViews>
  <sheetFormatPr defaultRowHeight="15" x14ac:dyDescent="0.25"/>
  <cols>
    <col min="1" max="1" width="14" style="1" customWidth="1"/>
    <col min="2" max="19" width="9.140625" style="1"/>
    <col min="20" max="20" width="14.42578125" style="1" customWidth="1"/>
    <col min="21" max="16384" width="9.140625" style="1"/>
  </cols>
  <sheetData>
    <row r="1" spans="1:20" x14ac:dyDescent="0.25">
      <c r="A1" s="1" t="s">
        <v>29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20</v>
      </c>
      <c r="D3" s="1">
        <v>20</v>
      </c>
      <c r="E3" s="1">
        <v>2.5</v>
      </c>
      <c r="F3" s="1">
        <v>5</v>
      </c>
      <c r="G3" s="1">
        <v>5</v>
      </c>
      <c r="H3" s="1">
        <v>3.5</v>
      </c>
      <c r="I3" s="1">
        <v>4</v>
      </c>
      <c r="J3" s="1">
        <v>5</v>
      </c>
      <c r="K3" s="1">
        <v>5</v>
      </c>
      <c r="L3" s="1">
        <f>SUM(K3,J3,I3,H3,G3,F3,E3,D3,C3)</f>
        <v>70</v>
      </c>
      <c r="M3" s="1">
        <v>30</v>
      </c>
      <c r="N3" s="1">
        <f>AVERAGE(M3,L3)</f>
        <v>50</v>
      </c>
    </row>
    <row r="4" spans="1:20" x14ac:dyDescent="0.25">
      <c r="B4" s="1" t="s">
        <v>22</v>
      </c>
      <c r="C4" s="1">
        <v>28</v>
      </c>
      <c r="D4" s="1">
        <v>34</v>
      </c>
      <c r="E4" s="1">
        <v>10</v>
      </c>
      <c r="F4" s="1">
        <v>5</v>
      </c>
      <c r="G4" s="1">
        <v>10</v>
      </c>
      <c r="H4" s="1">
        <v>4</v>
      </c>
      <c r="I4" s="1">
        <v>8</v>
      </c>
      <c r="J4" s="1">
        <v>5</v>
      </c>
      <c r="K4" s="1">
        <v>5</v>
      </c>
      <c r="L4" s="1">
        <f>SUM(C4:K4)</f>
        <v>109</v>
      </c>
      <c r="M4" s="1">
        <v>50</v>
      </c>
      <c r="N4" s="1">
        <f t="shared" ref="N4:N7" si="0">AVERAGE(M4,L4)</f>
        <v>79.5</v>
      </c>
    </row>
    <row r="5" spans="1:20" x14ac:dyDescent="0.25">
      <c r="B5" s="1" t="s">
        <v>23</v>
      </c>
      <c r="C5" s="1">
        <v>20</v>
      </c>
      <c r="D5" s="1">
        <v>20</v>
      </c>
      <c r="E5" s="1">
        <v>5</v>
      </c>
      <c r="F5" s="1">
        <v>2.5</v>
      </c>
      <c r="G5" s="1">
        <v>5</v>
      </c>
      <c r="H5" s="1">
        <v>3.5</v>
      </c>
      <c r="I5" s="1">
        <v>4</v>
      </c>
      <c r="J5" s="1">
        <v>5</v>
      </c>
      <c r="K5" s="1">
        <v>5</v>
      </c>
      <c r="L5" s="1">
        <f t="shared" ref="L5:L7" si="1">SUM(K5,J5,I5,H5,G5,F5,E5,D5,C5)</f>
        <v>70</v>
      </c>
      <c r="M5" s="1">
        <v>30</v>
      </c>
      <c r="N5" s="1">
        <f t="shared" si="0"/>
        <v>50</v>
      </c>
    </row>
    <row r="6" spans="1:20" x14ac:dyDescent="0.25">
      <c r="B6" s="1" t="s">
        <v>24</v>
      </c>
      <c r="C6" s="1">
        <v>35</v>
      </c>
      <c r="D6" s="1">
        <v>39</v>
      </c>
      <c r="E6" s="1">
        <v>10</v>
      </c>
      <c r="F6" s="1">
        <v>0</v>
      </c>
      <c r="G6" s="1">
        <v>5</v>
      </c>
      <c r="H6" s="1">
        <v>5</v>
      </c>
      <c r="I6" s="1">
        <v>8</v>
      </c>
      <c r="J6" s="1">
        <v>0</v>
      </c>
      <c r="K6" s="1">
        <v>0</v>
      </c>
      <c r="L6" s="1">
        <f t="shared" si="1"/>
        <v>102</v>
      </c>
      <c r="M6" s="1">
        <v>50</v>
      </c>
      <c r="N6" s="1">
        <f t="shared" si="0"/>
        <v>76</v>
      </c>
    </row>
    <row r="7" spans="1:20" x14ac:dyDescent="0.25">
      <c r="B7" s="1" t="s">
        <v>25</v>
      </c>
      <c r="C7" s="1">
        <v>37</v>
      </c>
      <c r="D7" s="1">
        <v>26</v>
      </c>
      <c r="E7" s="1">
        <v>10</v>
      </c>
      <c r="F7" s="1">
        <v>0</v>
      </c>
      <c r="G7" s="1">
        <v>5</v>
      </c>
      <c r="H7" s="1">
        <v>7</v>
      </c>
      <c r="I7" s="1">
        <v>4</v>
      </c>
      <c r="J7" s="1">
        <v>10</v>
      </c>
      <c r="K7" s="1">
        <v>5</v>
      </c>
      <c r="L7" s="1">
        <f t="shared" si="1"/>
        <v>104</v>
      </c>
      <c r="M7" s="1">
        <v>55</v>
      </c>
      <c r="N7" s="1">
        <f t="shared" si="0"/>
        <v>79.5</v>
      </c>
    </row>
    <row r="8" spans="1:20" x14ac:dyDescent="0.25">
      <c r="A8" s="1" t="s">
        <v>39</v>
      </c>
      <c r="B8" s="1" t="s">
        <v>38</v>
      </c>
      <c r="O8" s="1">
        <f>AVERAGE(N3,N4,N5,N6,N7)</f>
        <v>67</v>
      </c>
      <c r="P8" s="1">
        <v>27.75</v>
      </c>
      <c r="Q8" s="1">
        <v>43</v>
      </c>
      <c r="R8" s="1">
        <f>AVERAGE(M3,M4,M5,M6,M7)</f>
        <v>43</v>
      </c>
      <c r="S8" s="1">
        <f>SUM(Q8,P8)</f>
        <v>70.75</v>
      </c>
      <c r="T8" s="1">
        <f>AVERAGE(S8,O8)</f>
        <v>68.875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30</v>
      </c>
      <c r="N10" s="1">
        <f>AVERAGE(M10,L10)</f>
        <v>15</v>
      </c>
    </row>
    <row r="11" spans="1:20" x14ac:dyDescent="0.25">
      <c r="B11" s="1" t="s">
        <v>40</v>
      </c>
      <c r="L11" s="1">
        <f>SUM(C11:K11)</f>
        <v>0</v>
      </c>
      <c r="M11" s="1">
        <v>50</v>
      </c>
      <c r="N11" s="1">
        <f t="shared" ref="N11:N14" si="2">AVERAGE(M11,L11)</f>
        <v>25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30</v>
      </c>
      <c r="N12" s="1">
        <f t="shared" si="2"/>
        <v>15</v>
      </c>
    </row>
    <row r="13" spans="1:20" x14ac:dyDescent="0.25">
      <c r="B13" s="1" t="s">
        <v>42</v>
      </c>
      <c r="L13" s="1">
        <f t="shared" si="3"/>
        <v>0</v>
      </c>
      <c r="M13" s="1">
        <v>50</v>
      </c>
      <c r="N13" s="1">
        <f t="shared" si="2"/>
        <v>25</v>
      </c>
    </row>
    <row r="14" spans="1:20" x14ac:dyDescent="0.25">
      <c r="B14" s="1" t="s">
        <v>43</v>
      </c>
      <c r="L14" s="1">
        <f t="shared" si="3"/>
        <v>0</v>
      </c>
      <c r="M14" s="1">
        <v>55</v>
      </c>
      <c r="N14" s="1">
        <f t="shared" si="2"/>
        <v>27.5</v>
      </c>
    </row>
    <row r="15" spans="1:20" x14ac:dyDescent="0.25">
      <c r="A15" s="1" t="s">
        <v>39</v>
      </c>
      <c r="B15" s="1" t="s">
        <v>44</v>
      </c>
      <c r="O15" s="1">
        <f>AVERAGE(N10,N11,N12,N13,N14)</f>
        <v>21.5</v>
      </c>
      <c r="P15" s="1">
        <v>27.75</v>
      </c>
      <c r="Q15" s="1">
        <v>43</v>
      </c>
      <c r="R15" s="1">
        <f>AVERAGE(M10,M11,M12,M13,M14)</f>
        <v>43</v>
      </c>
      <c r="S15" s="1">
        <f>SUM(Q15,P15)</f>
        <v>70.75</v>
      </c>
      <c r="T15" s="1">
        <f>AVERAGE(S15,O15)</f>
        <v>46.125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O21" sqref="O21"/>
    </sheetView>
  </sheetViews>
  <sheetFormatPr defaultRowHeight="15" x14ac:dyDescent="0.25"/>
  <cols>
    <col min="1" max="1" width="13" style="1" customWidth="1"/>
    <col min="2" max="19" width="9.140625" style="1"/>
    <col min="20" max="20" width="14.42578125" style="1" customWidth="1"/>
    <col min="21" max="16384" width="9.140625" style="1"/>
  </cols>
  <sheetData>
    <row r="1" spans="1:20" x14ac:dyDescent="0.25">
      <c r="A1" s="1" t="s">
        <v>30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20</v>
      </c>
      <c r="D3" s="1">
        <v>38</v>
      </c>
      <c r="E3" s="1">
        <v>5</v>
      </c>
      <c r="F3" s="1">
        <v>5</v>
      </c>
      <c r="G3" s="1">
        <v>0</v>
      </c>
      <c r="H3" s="1">
        <v>6</v>
      </c>
      <c r="I3" s="1">
        <v>6</v>
      </c>
      <c r="J3" s="1">
        <v>0</v>
      </c>
      <c r="K3" s="1">
        <v>10</v>
      </c>
      <c r="L3" s="1">
        <f>SUM(K3,J3,I3,H3,G3,F3,E3,D3,C3)</f>
        <v>90</v>
      </c>
      <c r="M3" s="1">
        <v>60</v>
      </c>
      <c r="N3" s="1">
        <f>AVERAGE(M3,L3)</f>
        <v>75</v>
      </c>
    </row>
    <row r="4" spans="1:20" x14ac:dyDescent="0.25">
      <c r="B4" s="1" t="s">
        <v>22</v>
      </c>
      <c r="C4" s="1">
        <v>35</v>
      </c>
      <c r="D4" s="1">
        <v>35</v>
      </c>
      <c r="E4" s="1">
        <v>0</v>
      </c>
      <c r="F4" s="1">
        <v>5</v>
      </c>
      <c r="G4" s="1">
        <v>0</v>
      </c>
      <c r="H4" s="1">
        <v>0</v>
      </c>
      <c r="I4" s="1">
        <v>2</v>
      </c>
      <c r="J4" s="1">
        <v>5</v>
      </c>
      <c r="K4" s="1">
        <v>0</v>
      </c>
      <c r="L4" s="1">
        <f>SUM(C4:K4)</f>
        <v>82</v>
      </c>
      <c r="M4" s="1">
        <v>60</v>
      </c>
      <c r="N4" s="1">
        <f t="shared" ref="N4:N7" si="0">AVERAGE(M4,L4)</f>
        <v>71</v>
      </c>
    </row>
    <row r="5" spans="1:20" x14ac:dyDescent="0.25">
      <c r="B5" s="1" t="s">
        <v>23</v>
      </c>
      <c r="C5" s="1">
        <v>22</v>
      </c>
      <c r="D5" s="1">
        <v>40</v>
      </c>
      <c r="E5" s="1">
        <v>0</v>
      </c>
      <c r="F5" s="1">
        <v>0</v>
      </c>
      <c r="G5" s="1">
        <v>5</v>
      </c>
      <c r="H5" s="1">
        <v>5</v>
      </c>
      <c r="I5" s="1">
        <v>8</v>
      </c>
      <c r="J5" s="1">
        <v>10</v>
      </c>
      <c r="K5" s="1">
        <v>0</v>
      </c>
      <c r="L5" s="1">
        <f t="shared" ref="L5:L7" si="1">SUM(K5,J5,I5,H5,G5,F5,E5,D5,C5)</f>
        <v>90</v>
      </c>
      <c r="M5" s="1">
        <v>60</v>
      </c>
      <c r="N5" s="1">
        <f t="shared" si="0"/>
        <v>75</v>
      </c>
    </row>
    <row r="6" spans="1:20" x14ac:dyDescent="0.25">
      <c r="B6" s="1" t="s">
        <v>24</v>
      </c>
      <c r="C6" s="1">
        <v>40</v>
      </c>
      <c r="D6" s="1">
        <v>40</v>
      </c>
      <c r="E6" s="1">
        <v>10</v>
      </c>
      <c r="F6" s="1">
        <v>0</v>
      </c>
      <c r="G6" s="1">
        <v>5</v>
      </c>
      <c r="H6" s="1">
        <v>4</v>
      </c>
      <c r="I6" s="1">
        <v>0</v>
      </c>
      <c r="J6" s="1">
        <v>0</v>
      </c>
      <c r="K6" s="1">
        <v>5</v>
      </c>
      <c r="L6" s="1">
        <f t="shared" si="1"/>
        <v>104</v>
      </c>
      <c r="M6" s="1">
        <v>60</v>
      </c>
      <c r="N6" s="1">
        <f t="shared" si="0"/>
        <v>82</v>
      </c>
    </row>
    <row r="7" spans="1:20" x14ac:dyDescent="0.25">
      <c r="B7" s="1" t="s">
        <v>25</v>
      </c>
      <c r="C7" s="1">
        <v>34</v>
      </c>
      <c r="D7" s="1">
        <v>40</v>
      </c>
      <c r="E7" s="1">
        <v>0</v>
      </c>
      <c r="F7" s="1">
        <v>5</v>
      </c>
      <c r="G7" s="1">
        <v>5</v>
      </c>
      <c r="H7" s="1">
        <v>7</v>
      </c>
      <c r="I7" s="1">
        <v>5</v>
      </c>
      <c r="J7" s="1">
        <v>5</v>
      </c>
      <c r="K7" s="1">
        <v>10</v>
      </c>
      <c r="L7" s="1">
        <f t="shared" si="1"/>
        <v>111</v>
      </c>
      <c r="M7" s="1">
        <v>60</v>
      </c>
      <c r="N7" s="1">
        <f t="shared" si="0"/>
        <v>85.5</v>
      </c>
    </row>
    <row r="8" spans="1:20" x14ac:dyDescent="0.25">
      <c r="A8" s="1" t="s">
        <v>39</v>
      </c>
      <c r="B8" s="1" t="s">
        <v>38</v>
      </c>
      <c r="O8" s="1">
        <f>AVERAGE(N3,N4,N5,N6,N7)</f>
        <v>77.7</v>
      </c>
      <c r="P8" s="1">
        <v>33</v>
      </c>
      <c r="Q8" s="1">
        <v>44</v>
      </c>
      <c r="R8" s="1">
        <f>AVERAGE(M3,M4,M5,M6,M7)</f>
        <v>60</v>
      </c>
      <c r="S8" s="1">
        <f>SUM(Q8,P8)</f>
        <v>77</v>
      </c>
      <c r="T8" s="1">
        <f>AVERAGE(S8,O8)</f>
        <v>77.349999999999994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60</v>
      </c>
      <c r="N10" s="1">
        <f>AVERAGE(M10,L10)</f>
        <v>30</v>
      </c>
    </row>
    <row r="11" spans="1:20" x14ac:dyDescent="0.25">
      <c r="B11" s="1" t="s">
        <v>40</v>
      </c>
      <c r="L11" s="1">
        <f>SUM(C11:K11)</f>
        <v>0</v>
      </c>
      <c r="M11" s="1">
        <v>60</v>
      </c>
      <c r="N11" s="1">
        <f t="shared" ref="N11:N14" si="2">AVERAGE(M11,L11)</f>
        <v>30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60</v>
      </c>
      <c r="N12" s="1">
        <f t="shared" si="2"/>
        <v>30</v>
      </c>
    </row>
    <row r="13" spans="1:20" x14ac:dyDescent="0.25">
      <c r="B13" s="1" t="s">
        <v>42</v>
      </c>
      <c r="L13" s="1">
        <f t="shared" si="3"/>
        <v>0</v>
      </c>
      <c r="M13" s="1">
        <v>60</v>
      </c>
      <c r="N13" s="1">
        <f t="shared" si="2"/>
        <v>30</v>
      </c>
    </row>
    <row r="14" spans="1:20" x14ac:dyDescent="0.25">
      <c r="B14" s="1" t="s">
        <v>43</v>
      </c>
      <c r="L14" s="1">
        <f t="shared" si="3"/>
        <v>0</v>
      </c>
      <c r="M14" s="1">
        <v>60</v>
      </c>
      <c r="N14" s="1">
        <f t="shared" si="2"/>
        <v>30</v>
      </c>
    </row>
    <row r="15" spans="1:20" x14ac:dyDescent="0.25">
      <c r="A15" s="1" t="s">
        <v>39</v>
      </c>
      <c r="B15" s="1" t="s">
        <v>44</v>
      </c>
      <c r="O15" s="1">
        <f>AVERAGE(N10,N11,N12,N13,N14)</f>
        <v>30</v>
      </c>
      <c r="P15" s="1">
        <v>33</v>
      </c>
      <c r="Q15" s="1">
        <v>44</v>
      </c>
      <c r="R15" s="1">
        <f>AVERAGE(M10,M11,M12,M13,M14)</f>
        <v>60</v>
      </c>
      <c r="S15" s="1">
        <f>SUM(Q15,P15)</f>
        <v>77</v>
      </c>
      <c r="T15" s="1">
        <f>AVERAGE(S15,O15)</f>
        <v>53.5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topLeftCell="B1" workbookViewId="0">
      <selection activeCell="O22" sqref="O22"/>
    </sheetView>
  </sheetViews>
  <sheetFormatPr defaultRowHeight="15" x14ac:dyDescent="0.25"/>
  <cols>
    <col min="1" max="1" width="14" style="1" customWidth="1"/>
    <col min="2" max="19" width="9.140625" style="1"/>
    <col min="20" max="20" width="14.5703125" style="1" customWidth="1"/>
    <col min="21" max="16384" width="9.140625" style="1"/>
  </cols>
  <sheetData>
    <row r="1" spans="1:20" x14ac:dyDescent="0.25">
      <c r="A1" s="1" t="s">
        <v>31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38</v>
      </c>
      <c r="D3" s="1">
        <v>35</v>
      </c>
      <c r="E3" s="1">
        <v>0</v>
      </c>
      <c r="F3" s="1">
        <v>5</v>
      </c>
      <c r="G3" s="1">
        <v>0</v>
      </c>
      <c r="H3" s="1">
        <v>2</v>
      </c>
      <c r="I3" s="1">
        <v>6</v>
      </c>
      <c r="J3" s="1">
        <v>5</v>
      </c>
      <c r="K3" s="1">
        <v>10</v>
      </c>
      <c r="L3" s="1">
        <f>SUM(K3,J3,I3,H3,G3,F3,E3,D3,C3)</f>
        <v>101</v>
      </c>
      <c r="M3" s="1">
        <v>55</v>
      </c>
      <c r="N3" s="1">
        <f>AVERAGE(M3,L3)</f>
        <v>78</v>
      </c>
    </row>
    <row r="4" spans="1:20" x14ac:dyDescent="0.25">
      <c r="B4" s="1" t="s">
        <v>22</v>
      </c>
      <c r="C4" s="1">
        <v>20</v>
      </c>
      <c r="D4" s="1">
        <v>20</v>
      </c>
      <c r="E4" s="1">
        <v>5</v>
      </c>
      <c r="F4" s="1">
        <v>2.5</v>
      </c>
      <c r="G4" s="1">
        <v>5</v>
      </c>
      <c r="H4" s="1">
        <v>3.5</v>
      </c>
      <c r="I4" s="1">
        <v>4</v>
      </c>
      <c r="J4" s="1">
        <v>5</v>
      </c>
      <c r="K4" s="1">
        <v>5</v>
      </c>
      <c r="L4" s="1">
        <f>SUM(C4:K4)</f>
        <v>70</v>
      </c>
      <c r="M4" s="1">
        <v>30</v>
      </c>
      <c r="N4" s="1">
        <f t="shared" ref="N4:N7" si="0">AVERAGE(M4,L4)</f>
        <v>50</v>
      </c>
    </row>
    <row r="5" spans="1:20" x14ac:dyDescent="0.25">
      <c r="B5" s="1" t="s">
        <v>23</v>
      </c>
      <c r="C5" s="1">
        <v>28</v>
      </c>
      <c r="D5" s="1">
        <v>26</v>
      </c>
      <c r="E5" s="1">
        <v>10</v>
      </c>
      <c r="F5" s="1">
        <v>0</v>
      </c>
      <c r="G5" s="1">
        <v>0</v>
      </c>
      <c r="H5" s="1">
        <v>0</v>
      </c>
      <c r="I5" s="1">
        <v>8</v>
      </c>
      <c r="J5" s="1">
        <v>10</v>
      </c>
      <c r="K5" s="1">
        <v>0</v>
      </c>
      <c r="L5" s="1">
        <f t="shared" ref="L5:L7" si="1">SUM(K5,J5,I5,H5,G5,F5,E5,D5,C5)</f>
        <v>82</v>
      </c>
      <c r="M5" s="1">
        <v>60</v>
      </c>
      <c r="N5" s="1">
        <f t="shared" si="0"/>
        <v>71</v>
      </c>
    </row>
    <row r="6" spans="1:20" x14ac:dyDescent="0.25">
      <c r="B6" s="1" t="s">
        <v>24</v>
      </c>
      <c r="C6" s="1">
        <v>38</v>
      </c>
      <c r="D6" s="1">
        <v>11</v>
      </c>
      <c r="E6" s="1">
        <v>0</v>
      </c>
      <c r="F6" s="1">
        <v>0</v>
      </c>
      <c r="G6" s="1">
        <v>0</v>
      </c>
      <c r="H6" s="1">
        <v>3</v>
      </c>
      <c r="I6" s="1">
        <v>8</v>
      </c>
      <c r="J6" s="1">
        <v>0</v>
      </c>
      <c r="K6" s="1">
        <v>10</v>
      </c>
      <c r="L6" s="1">
        <f t="shared" si="1"/>
        <v>70</v>
      </c>
      <c r="M6" s="1">
        <v>40</v>
      </c>
      <c r="N6" s="1">
        <f t="shared" si="0"/>
        <v>55</v>
      </c>
    </row>
    <row r="7" spans="1:20" x14ac:dyDescent="0.25">
      <c r="B7" s="1" t="s">
        <v>25</v>
      </c>
      <c r="C7" s="1">
        <v>21</v>
      </c>
      <c r="D7" s="1">
        <v>40</v>
      </c>
      <c r="E7" s="1">
        <v>5</v>
      </c>
      <c r="F7" s="1">
        <v>0</v>
      </c>
      <c r="G7" s="1">
        <v>0</v>
      </c>
      <c r="H7" s="1">
        <v>3</v>
      </c>
      <c r="I7" s="1">
        <v>6</v>
      </c>
      <c r="J7" s="1">
        <v>0</v>
      </c>
      <c r="K7" s="1">
        <v>10</v>
      </c>
      <c r="L7" s="1">
        <f t="shared" si="1"/>
        <v>85</v>
      </c>
      <c r="M7" s="1">
        <v>55</v>
      </c>
      <c r="N7" s="1">
        <f t="shared" si="0"/>
        <v>70</v>
      </c>
    </row>
    <row r="8" spans="1:20" x14ac:dyDescent="0.25">
      <c r="A8" s="1" t="s">
        <v>39</v>
      </c>
      <c r="B8" s="1" t="s">
        <v>38</v>
      </c>
      <c r="O8" s="1">
        <f>AVERAGE(N3,N4,N5,N6,N7)</f>
        <v>64.8</v>
      </c>
      <c r="P8" s="1">
        <v>29</v>
      </c>
      <c r="Q8" s="1">
        <v>50</v>
      </c>
      <c r="R8" s="1">
        <f>AVERAGE(M3,M4,M5,M6,M7)</f>
        <v>48</v>
      </c>
      <c r="S8" s="1">
        <f>SUM(Q8,P8)</f>
        <v>79</v>
      </c>
      <c r="T8" s="1">
        <f>AVERAGE(S8,O8)</f>
        <v>71.900000000000006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55</v>
      </c>
      <c r="N10" s="1">
        <f>AVERAGE(M10,L10)</f>
        <v>27.5</v>
      </c>
    </row>
    <row r="11" spans="1:20" x14ac:dyDescent="0.25">
      <c r="B11" s="1" t="s">
        <v>40</v>
      </c>
      <c r="L11" s="1">
        <f>SUM(C11:K11)</f>
        <v>0</v>
      </c>
      <c r="M11" s="1">
        <v>30</v>
      </c>
      <c r="N11" s="1">
        <f t="shared" ref="N11:N14" si="2">AVERAGE(M11,L11)</f>
        <v>15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60</v>
      </c>
      <c r="N12" s="1">
        <f t="shared" si="2"/>
        <v>30</v>
      </c>
    </row>
    <row r="13" spans="1:20" x14ac:dyDescent="0.25">
      <c r="B13" s="1" t="s">
        <v>42</v>
      </c>
      <c r="L13" s="1">
        <f t="shared" si="3"/>
        <v>0</v>
      </c>
      <c r="M13" s="1">
        <v>40</v>
      </c>
      <c r="N13" s="1">
        <f t="shared" si="2"/>
        <v>20</v>
      </c>
    </row>
    <row r="14" spans="1:20" x14ac:dyDescent="0.25">
      <c r="B14" s="1" t="s">
        <v>43</v>
      </c>
      <c r="L14" s="1">
        <f t="shared" si="3"/>
        <v>0</v>
      </c>
      <c r="M14" s="1">
        <v>55</v>
      </c>
      <c r="N14" s="1">
        <f t="shared" si="2"/>
        <v>27.5</v>
      </c>
    </row>
    <row r="15" spans="1:20" x14ac:dyDescent="0.25">
      <c r="A15" s="1" t="s">
        <v>39</v>
      </c>
      <c r="B15" s="1" t="s">
        <v>44</v>
      </c>
      <c r="O15" s="1">
        <f>AVERAGE(N10,N11,N12,N13,N14)</f>
        <v>24</v>
      </c>
      <c r="P15" s="1">
        <v>29</v>
      </c>
      <c r="Q15" s="1">
        <v>50</v>
      </c>
      <c r="R15" s="1">
        <f>AVERAGE(M10,M11,M12,M13,M14)</f>
        <v>48</v>
      </c>
      <c r="S15" s="1">
        <f>SUM(Q15,P15)</f>
        <v>79</v>
      </c>
      <c r="T15" s="1">
        <f>AVERAGE(S15,O15)</f>
        <v>51.5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P22" sqref="P22"/>
    </sheetView>
  </sheetViews>
  <sheetFormatPr defaultRowHeight="15" x14ac:dyDescent="0.25"/>
  <cols>
    <col min="1" max="1" width="13.140625" style="1" customWidth="1"/>
    <col min="2" max="19" width="9.140625" style="1"/>
    <col min="20" max="20" width="14.42578125" style="1" customWidth="1"/>
    <col min="21" max="16384" width="9.140625" style="1"/>
  </cols>
  <sheetData>
    <row r="1" spans="1:20" x14ac:dyDescent="0.25">
      <c r="A1" s="1" t="s">
        <v>32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39</v>
      </c>
      <c r="D3" s="1">
        <v>21</v>
      </c>
      <c r="E3" s="1">
        <v>10</v>
      </c>
      <c r="F3" s="1">
        <v>0</v>
      </c>
      <c r="G3" s="1">
        <v>0</v>
      </c>
      <c r="H3" s="1">
        <v>5</v>
      </c>
      <c r="I3" s="1">
        <v>8</v>
      </c>
      <c r="J3" s="1">
        <v>5</v>
      </c>
      <c r="K3" s="1">
        <v>5</v>
      </c>
      <c r="L3" s="1">
        <f>SUM(K3,J3,I3,H3,G3,F3,E3,D3,C3)</f>
        <v>93</v>
      </c>
      <c r="M3" s="1">
        <v>60</v>
      </c>
      <c r="N3" s="1">
        <f>AVERAGE(M3,L3)</f>
        <v>76.5</v>
      </c>
    </row>
    <row r="4" spans="1:20" x14ac:dyDescent="0.25">
      <c r="B4" s="1" t="s">
        <v>22</v>
      </c>
      <c r="C4" s="1">
        <v>20</v>
      </c>
      <c r="D4" s="1">
        <v>20</v>
      </c>
      <c r="E4" s="1">
        <v>5</v>
      </c>
      <c r="F4" s="1">
        <v>2.5</v>
      </c>
      <c r="G4" s="1">
        <v>5</v>
      </c>
      <c r="H4" s="1">
        <v>3.5</v>
      </c>
      <c r="I4" s="1">
        <v>4</v>
      </c>
      <c r="J4" s="1">
        <v>5</v>
      </c>
      <c r="K4" s="1">
        <v>5</v>
      </c>
      <c r="L4" s="1">
        <f>SUM(C4:K4)</f>
        <v>70</v>
      </c>
      <c r="M4" s="1">
        <v>30</v>
      </c>
      <c r="N4" s="1">
        <f t="shared" ref="N4:N7" si="0">AVERAGE(M4,L4)</f>
        <v>50</v>
      </c>
    </row>
    <row r="5" spans="1:20" x14ac:dyDescent="0.25">
      <c r="B5" s="1" t="s">
        <v>23</v>
      </c>
      <c r="C5" s="1">
        <v>20</v>
      </c>
      <c r="D5" s="1">
        <v>20</v>
      </c>
      <c r="E5" s="1">
        <v>5</v>
      </c>
      <c r="F5" s="1">
        <v>2.5</v>
      </c>
      <c r="G5" s="1">
        <v>5</v>
      </c>
      <c r="H5" s="1">
        <v>3.5</v>
      </c>
      <c r="I5" s="1">
        <v>4</v>
      </c>
      <c r="J5" s="1">
        <v>5</v>
      </c>
      <c r="K5" s="1">
        <v>5</v>
      </c>
      <c r="L5" s="1">
        <f t="shared" ref="L5:L7" si="1">SUM(K5,J5,I5,H5,G5,F5,E5,D5,C5)</f>
        <v>70</v>
      </c>
      <c r="M5" s="1">
        <v>30</v>
      </c>
      <c r="N5" s="1">
        <f t="shared" si="0"/>
        <v>50</v>
      </c>
    </row>
    <row r="6" spans="1:20" x14ac:dyDescent="0.25">
      <c r="B6" s="1" t="s">
        <v>24</v>
      </c>
      <c r="C6" s="1">
        <v>31</v>
      </c>
      <c r="D6" s="1">
        <v>38</v>
      </c>
      <c r="E6" s="1">
        <v>5</v>
      </c>
      <c r="F6" s="1">
        <v>5</v>
      </c>
      <c r="G6" s="1">
        <v>5</v>
      </c>
      <c r="H6" s="1">
        <v>5</v>
      </c>
      <c r="I6" s="1">
        <v>2</v>
      </c>
      <c r="J6" s="1">
        <v>5</v>
      </c>
      <c r="K6" s="1">
        <v>5</v>
      </c>
      <c r="L6" s="1">
        <f t="shared" si="1"/>
        <v>101</v>
      </c>
      <c r="M6" s="1">
        <v>50</v>
      </c>
      <c r="N6" s="1">
        <f t="shared" si="0"/>
        <v>75.5</v>
      </c>
    </row>
    <row r="7" spans="1:20" x14ac:dyDescent="0.25">
      <c r="B7" s="1" t="s">
        <v>25</v>
      </c>
      <c r="C7" s="1">
        <v>30</v>
      </c>
      <c r="D7" s="1">
        <v>36</v>
      </c>
      <c r="E7" s="1">
        <v>10</v>
      </c>
      <c r="F7" s="1">
        <v>0</v>
      </c>
      <c r="G7" s="1">
        <v>5</v>
      </c>
      <c r="H7" s="1">
        <v>4</v>
      </c>
      <c r="I7" s="1">
        <v>2</v>
      </c>
      <c r="J7" s="1">
        <v>5</v>
      </c>
      <c r="K7" s="1">
        <v>10</v>
      </c>
      <c r="L7" s="1">
        <f t="shared" si="1"/>
        <v>102</v>
      </c>
      <c r="M7" s="1">
        <v>60</v>
      </c>
      <c r="N7" s="1">
        <f t="shared" si="0"/>
        <v>81</v>
      </c>
    </row>
    <row r="8" spans="1:20" x14ac:dyDescent="0.25">
      <c r="A8" s="1" t="s">
        <v>39</v>
      </c>
      <c r="B8" s="1" t="s">
        <v>38</v>
      </c>
      <c r="O8" s="1">
        <f>AVERAGE(N3,N4,N5,N6,N7)</f>
        <v>66.599999999999994</v>
      </c>
      <c r="P8" s="1">
        <v>36.25</v>
      </c>
      <c r="Q8" s="1">
        <v>45</v>
      </c>
      <c r="R8" s="1">
        <f>AVERAGE(M3,M4,M5,M6,M7)</f>
        <v>46</v>
      </c>
      <c r="S8" s="1">
        <f>SUM(Q8,P8)</f>
        <v>81.25</v>
      </c>
      <c r="T8" s="1">
        <f>AVERAGE(S8,O8)</f>
        <v>73.924999999999997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60</v>
      </c>
      <c r="N10" s="1">
        <f>AVERAGE(M10,L10)</f>
        <v>30</v>
      </c>
    </row>
    <row r="11" spans="1:20" x14ac:dyDescent="0.25">
      <c r="B11" s="1" t="s">
        <v>40</v>
      </c>
      <c r="L11" s="1">
        <f>SUM(C11:K11)</f>
        <v>0</v>
      </c>
      <c r="M11" s="1">
        <v>30</v>
      </c>
      <c r="N11" s="1">
        <f t="shared" ref="N11:N14" si="2">AVERAGE(M11,L11)</f>
        <v>15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30</v>
      </c>
      <c r="N12" s="1">
        <f t="shared" si="2"/>
        <v>15</v>
      </c>
    </row>
    <row r="13" spans="1:20" x14ac:dyDescent="0.25">
      <c r="B13" s="1" t="s">
        <v>42</v>
      </c>
      <c r="L13" s="1">
        <f t="shared" si="3"/>
        <v>0</v>
      </c>
      <c r="M13" s="1">
        <v>50</v>
      </c>
      <c r="N13" s="1">
        <f t="shared" si="2"/>
        <v>25</v>
      </c>
    </row>
    <row r="14" spans="1:20" x14ac:dyDescent="0.25">
      <c r="B14" s="1" t="s">
        <v>43</v>
      </c>
      <c r="L14" s="1">
        <f t="shared" si="3"/>
        <v>0</v>
      </c>
      <c r="M14" s="1">
        <v>60</v>
      </c>
      <c r="N14" s="1">
        <f t="shared" si="2"/>
        <v>30</v>
      </c>
    </row>
    <row r="15" spans="1:20" x14ac:dyDescent="0.25">
      <c r="A15" s="1" t="s">
        <v>39</v>
      </c>
      <c r="B15" s="1" t="s">
        <v>44</v>
      </c>
      <c r="O15" s="1">
        <f>AVERAGE(N10,N11,N12,N13,N14)</f>
        <v>23</v>
      </c>
      <c r="P15" s="1">
        <v>36.25</v>
      </c>
      <c r="Q15" s="1">
        <v>45</v>
      </c>
      <c r="R15" s="1">
        <f>AVERAGE(M10,M11,M12,M13,M14)</f>
        <v>46</v>
      </c>
      <c r="S15" s="1">
        <f>SUM(Q15,P15)</f>
        <v>81.25</v>
      </c>
      <c r="T15" s="1">
        <f>AVERAGE(S15,O15)</f>
        <v>52.125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R21" sqref="R21"/>
    </sheetView>
  </sheetViews>
  <sheetFormatPr defaultRowHeight="15" x14ac:dyDescent="0.25"/>
  <cols>
    <col min="1" max="1" width="14.28515625" style="1" customWidth="1"/>
    <col min="2" max="19" width="9.140625" style="1"/>
    <col min="20" max="20" width="14.5703125" style="1" customWidth="1"/>
    <col min="21" max="16384" width="9.140625" style="1"/>
  </cols>
  <sheetData>
    <row r="1" spans="1:20" x14ac:dyDescent="0.25">
      <c r="A1" s="1" t="s">
        <v>33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20</v>
      </c>
      <c r="D3" s="1">
        <v>20</v>
      </c>
      <c r="E3" s="1">
        <v>5</v>
      </c>
      <c r="F3" s="1">
        <v>2.5</v>
      </c>
      <c r="G3" s="1">
        <v>5</v>
      </c>
      <c r="H3" s="1">
        <v>3.5</v>
      </c>
      <c r="I3" s="1">
        <v>4</v>
      </c>
      <c r="J3" s="1">
        <v>5</v>
      </c>
      <c r="K3" s="1">
        <v>5</v>
      </c>
      <c r="L3" s="1">
        <f>SUM(K3,J3,I3,H3,G3,F3,E3,D3,C3)</f>
        <v>70</v>
      </c>
      <c r="M3" s="1">
        <v>30</v>
      </c>
      <c r="N3" s="1">
        <f>AVERAGE(M3,L3)</f>
        <v>50</v>
      </c>
    </row>
    <row r="4" spans="1:20" x14ac:dyDescent="0.25">
      <c r="B4" s="1" t="s">
        <v>22</v>
      </c>
      <c r="C4" s="1">
        <v>37</v>
      </c>
      <c r="D4" s="1">
        <v>38</v>
      </c>
      <c r="E4" s="1">
        <v>10</v>
      </c>
      <c r="F4" s="1">
        <v>5</v>
      </c>
      <c r="G4" s="1">
        <v>5</v>
      </c>
      <c r="H4" s="1">
        <v>2</v>
      </c>
      <c r="I4" s="1">
        <v>8</v>
      </c>
      <c r="J4" s="1">
        <v>5</v>
      </c>
      <c r="K4" s="1">
        <v>5</v>
      </c>
      <c r="L4" s="1">
        <f>SUM(C4:K4)</f>
        <v>115</v>
      </c>
      <c r="M4" s="1">
        <v>50</v>
      </c>
      <c r="N4" s="1">
        <f t="shared" ref="N4:N7" si="0">AVERAGE(M4,L4)</f>
        <v>82.5</v>
      </c>
    </row>
    <row r="5" spans="1:20" x14ac:dyDescent="0.25">
      <c r="B5" s="1" t="s">
        <v>23</v>
      </c>
      <c r="C5" s="1">
        <v>20</v>
      </c>
      <c r="D5" s="1">
        <v>20</v>
      </c>
      <c r="E5" s="1">
        <v>5</v>
      </c>
      <c r="F5" s="1">
        <v>2.5</v>
      </c>
      <c r="G5" s="1">
        <v>5</v>
      </c>
      <c r="H5" s="1">
        <v>3.5</v>
      </c>
      <c r="I5" s="1">
        <v>4</v>
      </c>
      <c r="J5" s="1">
        <v>5</v>
      </c>
      <c r="K5" s="1">
        <v>5</v>
      </c>
      <c r="L5" s="1">
        <f t="shared" ref="L5:L7" si="1">SUM(K5,J5,I5,H5,G5,F5,E5,D5,C5)</f>
        <v>70</v>
      </c>
      <c r="M5" s="1">
        <v>30</v>
      </c>
      <c r="N5" s="1">
        <f t="shared" si="0"/>
        <v>50</v>
      </c>
    </row>
    <row r="6" spans="1:20" x14ac:dyDescent="0.25">
      <c r="B6" s="1" t="s">
        <v>24</v>
      </c>
      <c r="C6" s="1">
        <v>25</v>
      </c>
      <c r="D6" s="1">
        <v>23</v>
      </c>
      <c r="E6" s="1">
        <v>10</v>
      </c>
      <c r="F6" s="1">
        <v>5</v>
      </c>
      <c r="G6" s="1">
        <v>10</v>
      </c>
      <c r="H6" s="1">
        <v>6</v>
      </c>
      <c r="I6" s="1">
        <v>6</v>
      </c>
      <c r="J6" s="1">
        <v>8</v>
      </c>
      <c r="K6" s="1">
        <v>7.5</v>
      </c>
      <c r="L6" s="1">
        <f t="shared" si="1"/>
        <v>100.5</v>
      </c>
      <c r="M6" s="1">
        <v>55</v>
      </c>
      <c r="N6" s="1">
        <f t="shared" si="0"/>
        <v>77.75</v>
      </c>
    </row>
    <row r="7" spans="1:20" x14ac:dyDescent="0.25">
      <c r="B7" s="1" t="s">
        <v>25</v>
      </c>
      <c r="C7" s="1">
        <v>39</v>
      </c>
      <c r="D7" s="1">
        <v>18</v>
      </c>
      <c r="E7" s="1">
        <v>10</v>
      </c>
      <c r="F7" s="1">
        <v>5</v>
      </c>
      <c r="G7" s="1">
        <v>10</v>
      </c>
      <c r="H7" s="1">
        <v>6</v>
      </c>
      <c r="I7" s="1">
        <v>6</v>
      </c>
      <c r="J7" s="1">
        <v>10</v>
      </c>
      <c r="K7" s="1">
        <v>10</v>
      </c>
      <c r="L7" s="1">
        <f t="shared" si="1"/>
        <v>114</v>
      </c>
      <c r="M7" s="1">
        <v>60</v>
      </c>
      <c r="N7" s="1">
        <f t="shared" si="0"/>
        <v>87</v>
      </c>
    </row>
    <row r="8" spans="1:20" x14ac:dyDescent="0.25">
      <c r="A8" s="1" t="s">
        <v>39</v>
      </c>
      <c r="B8" s="1" t="s">
        <v>38</v>
      </c>
      <c r="O8" s="1">
        <f>AVERAGE(N3,N4,N5,N6,N7)</f>
        <v>69.45</v>
      </c>
      <c r="P8" s="1">
        <v>41</v>
      </c>
      <c r="Q8" s="1">
        <v>45</v>
      </c>
      <c r="R8" s="1">
        <f>AVERAGE(M3,M4,M5,M6,M7)</f>
        <v>45</v>
      </c>
      <c r="S8" s="1">
        <f>SUM(Q8,P8)</f>
        <v>86</v>
      </c>
      <c r="T8" s="1">
        <f>AVERAGE(S8,O8)</f>
        <v>77.724999999999994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30</v>
      </c>
      <c r="N10" s="1">
        <f>AVERAGE(M10,L10)</f>
        <v>15</v>
      </c>
    </row>
    <row r="11" spans="1:20" x14ac:dyDescent="0.25">
      <c r="B11" s="1" t="s">
        <v>40</v>
      </c>
      <c r="L11" s="1">
        <f>SUM(C11:K11)</f>
        <v>0</v>
      </c>
      <c r="M11" s="1">
        <v>50</v>
      </c>
      <c r="N11" s="1">
        <f t="shared" ref="N11:N14" si="2">AVERAGE(M11,L11)</f>
        <v>25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30</v>
      </c>
      <c r="N12" s="1">
        <f t="shared" si="2"/>
        <v>15</v>
      </c>
    </row>
    <row r="13" spans="1:20" x14ac:dyDescent="0.25">
      <c r="B13" s="1" t="s">
        <v>42</v>
      </c>
      <c r="L13" s="1">
        <f t="shared" si="3"/>
        <v>0</v>
      </c>
      <c r="M13" s="1">
        <v>55</v>
      </c>
      <c r="N13" s="1">
        <f t="shared" si="2"/>
        <v>27.5</v>
      </c>
    </row>
    <row r="14" spans="1:20" x14ac:dyDescent="0.25">
      <c r="B14" s="1" t="s">
        <v>43</v>
      </c>
      <c r="L14" s="1">
        <f t="shared" si="3"/>
        <v>0</v>
      </c>
      <c r="M14" s="1">
        <v>60</v>
      </c>
      <c r="N14" s="1">
        <f t="shared" si="2"/>
        <v>30</v>
      </c>
    </row>
    <row r="15" spans="1:20" x14ac:dyDescent="0.25">
      <c r="A15" s="1" t="s">
        <v>39</v>
      </c>
      <c r="B15" s="1" t="s">
        <v>44</v>
      </c>
      <c r="O15" s="1">
        <f>AVERAGE(N10,N11,N12,N13,N14)</f>
        <v>22.5</v>
      </c>
      <c r="P15" s="1">
        <v>41</v>
      </c>
      <c r="Q15" s="1">
        <v>45</v>
      </c>
      <c r="R15" s="1">
        <f>AVERAGE(M10,M11,M12,M13,M14)</f>
        <v>45</v>
      </c>
      <c r="S15" s="1">
        <f>SUM(Q15,P15)</f>
        <v>86</v>
      </c>
      <c r="T15" s="1">
        <f>AVERAGE(S15,O15)</f>
        <v>54.25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topLeftCell="B1" workbookViewId="0">
      <selection activeCell="L22" sqref="L22"/>
    </sheetView>
  </sheetViews>
  <sheetFormatPr defaultRowHeight="15" x14ac:dyDescent="0.25"/>
  <cols>
    <col min="1" max="1" width="15.140625" style="1" customWidth="1"/>
    <col min="2" max="19" width="9.140625" style="1"/>
    <col min="20" max="20" width="14.5703125" style="1" customWidth="1"/>
    <col min="21" max="16384" width="9.140625" style="1"/>
  </cols>
  <sheetData>
    <row r="1" spans="1:20" x14ac:dyDescent="0.25">
      <c r="A1" s="1" t="s">
        <v>34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36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25</v>
      </c>
      <c r="D3" s="1">
        <v>38</v>
      </c>
      <c r="E3" s="1">
        <v>5</v>
      </c>
      <c r="F3" s="1">
        <v>5</v>
      </c>
      <c r="G3" s="1">
        <v>10</v>
      </c>
      <c r="H3" s="1">
        <v>7</v>
      </c>
      <c r="I3" s="1">
        <v>8</v>
      </c>
      <c r="J3" s="1">
        <v>5</v>
      </c>
      <c r="K3" s="1">
        <v>10</v>
      </c>
      <c r="L3" s="1">
        <f>SUM(K3,J3,I3,H3,G3,F3,E3,D3,C3)</f>
        <v>113</v>
      </c>
      <c r="M3" s="1">
        <v>45</v>
      </c>
      <c r="N3" s="1">
        <f>AVERAGE(M3,L3)</f>
        <v>79</v>
      </c>
    </row>
    <row r="4" spans="1:20" x14ac:dyDescent="0.25">
      <c r="B4" s="1" t="s">
        <v>22</v>
      </c>
      <c r="C4" s="1">
        <v>20</v>
      </c>
      <c r="D4" s="1">
        <v>20</v>
      </c>
      <c r="E4" s="1">
        <v>5</v>
      </c>
      <c r="F4" s="1">
        <v>2.5</v>
      </c>
      <c r="G4" s="1">
        <v>5</v>
      </c>
      <c r="H4" s="1">
        <v>3.5</v>
      </c>
      <c r="I4" s="1">
        <v>4</v>
      </c>
      <c r="J4" s="1">
        <v>5</v>
      </c>
      <c r="K4" s="1">
        <v>5</v>
      </c>
      <c r="L4" s="1">
        <f>SUM(C4:K4)</f>
        <v>70</v>
      </c>
      <c r="M4" s="1">
        <v>30</v>
      </c>
      <c r="N4" s="1">
        <f t="shared" ref="N4:N7" si="0">AVERAGE(M4,L4)</f>
        <v>50</v>
      </c>
    </row>
    <row r="5" spans="1:20" x14ac:dyDescent="0.25">
      <c r="B5" s="1" t="s">
        <v>23</v>
      </c>
      <c r="C5" s="1">
        <v>20</v>
      </c>
      <c r="D5" s="1">
        <v>20</v>
      </c>
      <c r="E5" s="1">
        <v>5</v>
      </c>
      <c r="F5" s="1">
        <v>2.5</v>
      </c>
      <c r="G5" s="1">
        <v>5</v>
      </c>
      <c r="H5" s="1">
        <v>3.5</v>
      </c>
      <c r="I5" s="1">
        <v>4</v>
      </c>
      <c r="J5" s="1">
        <v>5</v>
      </c>
      <c r="K5" s="1">
        <v>5</v>
      </c>
      <c r="L5" s="1">
        <f t="shared" ref="L5:L7" si="1">SUM(K5,J5,I5,H5,G5,F5,E5,D5,C5)</f>
        <v>70</v>
      </c>
      <c r="M5" s="1">
        <v>30</v>
      </c>
      <c r="N5" s="1">
        <f t="shared" si="0"/>
        <v>50</v>
      </c>
    </row>
    <row r="6" spans="1:20" x14ac:dyDescent="0.25">
      <c r="B6" s="1" t="s">
        <v>24</v>
      </c>
      <c r="C6" s="1">
        <v>20</v>
      </c>
      <c r="D6" s="1">
        <v>20</v>
      </c>
      <c r="E6" s="1">
        <v>5</v>
      </c>
      <c r="F6" s="1">
        <v>2.5</v>
      </c>
      <c r="G6" s="1">
        <v>5</v>
      </c>
      <c r="H6" s="1">
        <v>3.5</v>
      </c>
      <c r="I6" s="1">
        <v>4</v>
      </c>
      <c r="J6" s="1">
        <v>5</v>
      </c>
      <c r="K6" s="1">
        <v>5</v>
      </c>
      <c r="L6" s="1">
        <f t="shared" si="1"/>
        <v>70</v>
      </c>
      <c r="M6" s="1">
        <v>30</v>
      </c>
      <c r="N6" s="1">
        <f t="shared" si="0"/>
        <v>50</v>
      </c>
    </row>
    <row r="7" spans="1:20" x14ac:dyDescent="0.25">
      <c r="B7" s="1" t="s">
        <v>25</v>
      </c>
      <c r="C7" s="1">
        <v>20</v>
      </c>
      <c r="D7" s="1">
        <v>20</v>
      </c>
      <c r="E7" s="1">
        <v>5</v>
      </c>
      <c r="F7" s="1">
        <v>2.5</v>
      </c>
      <c r="G7" s="1">
        <v>5</v>
      </c>
      <c r="H7" s="1">
        <v>3.5</v>
      </c>
      <c r="I7" s="1">
        <v>4</v>
      </c>
      <c r="J7" s="1">
        <v>5</v>
      </c>
      <c r="K7" s="1">
        <v>5</v>
      </c>
      <c r="L7" s="1">
        <f t="shared" si="1"/>
        <v>70</v>
      </c>
      <c r="M7" s="1">
        <v>30</v>
      </c>
      <c r="N7" s="1">
        <f t="shared" si="0"/>
        <v>50</v>
      </c>
    </row>
    <row r="8" spans="1:20" x14ac:dyDescent="0.25">
      <c r="A8" s="1" t="s">
        <v>39</v>
      </c>
      <c r="B8" s="1" t="s">
        <v>38</v>
      </c>
      <c r="O8" s="1">
        <f>AVERAGE(N3,N4,N5,N6,N7)</f>
        <v>55.8</v>
      </c>
      <c r="P8" s="1">
        <v>25</v>
      </c>
      <c r="Q8" s="1">
        <v>25</v>
      </c>
      <c r="R8" s="1">
        <f>AVERAGE(M3,M4,M5,M6,M7)</f>
        <v>33</v>
      </c>
      <c r="S8" s="1">
        <f>SUM(Q8,P8)</f>
        <v>50</v>
      </c>
      <c r="T8" s="1">
        <f>AVERAGE(S8,O8)</f>
        <v>52.9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45</v>
      </c>
      <c r="N10" s="1">
        <f>AVERAGE(M10,L10)</f>
        <v>22.5</v>
      </c>
    </row>
    <row r="11" spans="1:20" x14ac:dyDescent="0.25">
      <c r="B11" s="1" t="s">
        <v>40</v>
      </c>
      <c r="L11" s="1">
        <f>SUM(C11:K11)</f>
        <v>0</v>
      </c>
      <c r="M11" s="1">
        <v>30</v>
      </c>
      <c r="N11" s="1">
        <f t="shared" ref="N11:N14" si="2">AVERAGE(M11,L11)</f>
        <v>15</v>
      </c>
    </row>
    <row r="12" spans="1:20" x14ac:dyDescent="0.25">
      <c r="B12" s="1" t="s">
        <v>41</v>
      </c>
      <c r="L12" s="1">
        <f t="shared" ref="L12:L14" si="3">SUM(K12,J12,I12,H12,G12,F12,E12,D12,C12)</f>
        <v>0</v>
      </c>
      <c r="M12" s="1">
        <v>30</v>
      </c>
      <c r="N12" s="1">
        <f t="shared" si="2"/>
        <v>15</v>
      </c>
    </row>
    <row r="13" spans="1:20" x14ac:dyDescent="0.25">
      <c r="B13" s="1" t="s">
        <v>42</v>
      </c>
      <c r="L13" s="1">
        <f t="shared" si="3"/>
        <v>0</v>
      </c>
      <c r="M13" s="1">
        <v>30</v>
      </c>
      <c r="N13" s="1">
        <f t="shared" si="2"/>
        <v>15</v>
      </c>
    </row>
    <row r="14" spans="1:20" x14ac:dyDescent="0.25">
      <c r="B14" s="1" t="s">
        <v>43</v>
      </c>
      <c r="L14" s="1">
        <f t="shared" si="3"/>
        <v>0</v>
      </c>
      <c r="M14" s="1">
        <v>30</v>
      </c>
      <c r="N14" s="1">
        <f t="shared" si="2"/>
        <v>15</v>
      </c>
    </row>
    <row r="15" spans="1:20" x14ac:dyDescent="0.25">
      <c r="A15" s="1" t="s">
        <v>39</v>
      </c>
      <c r="B15" s="1" t="s">
        <v>44</v>
      </c>
      <c r="O15" s="1">
        <f>AVERAGE(N10,N11,N12,N13,N14)</f>
        <v>16.5</v>
      </c>
      <c r="P15" s="1">
        <v>25</v>
      </c>
      <c r="Q15" s="1">
        <v>25</v>
      </c>
      <c r="R15" s="1">
        <f>AVERAGE(M10,M11,M12,M13,M14)</f>
        <v>33</v>
      </c>
      <c r="S15" s="1">
        <f>SUM(Q15,P15)</f>
        <v>50</v>
      </c>
      <c r="T15" s="1">
        <f>AVERAGE(S15,O15)</f>
        <v>33.25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rightToLeft="1" workbookViewId="0">
      <selection activeCell="R8" sqref="R8"/>
    </sheetView>
  </sheetViews>
  <sheetFormatPr defaultRowHeight="15" x14ac:dyDescent="0.25"/>
  <cols>
    <col min="1" max="1" width="15.5703125" style="1" customWidth="1"/>
    <col min="2" max="19" width="9.140625" style="1"/>
    <col min="20" max="20" width="15.85546875" style="1" customWidth="1"/>
    <col min="21" max="16384" width="9.140625" style="1"/>
  </cols>
  <sheetData>
    <row r="1" spans="1:20" x14ac:dyDescent="0.25">
      <c r="A1" s="1" t="s">
        <v>35</v>
      </c>
    </row>
    <row r="2" spans="1:20" x14ac:dyDescent="0.25">
      <c r="B2" s="1" t="s">
        <v>11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12</v>
      </c>
      <c r="M2" s="1" t="s">
        <v>10</v>
      </c>
      <c r="N2" s="1" t="s">
        <v>17</v>
      </c>
      <c r="O2" s="1" t="s">
        <v>13</v>
      </c>
      <c r="P2" s="1" t="s">
        <v>15</v>
      </c>
      <c r="Q2" s="1" t="s">
        <v>16</v>
      </c>
      <c r="R2" s="1" t="s">
        <v>18</v>
      </c>
      <c r="S2" s="1" t="s">
        <v>19</v>
      </c>
      <c r="T2" s="1" t="s">
        <v>14</v>
      </c>
    </row>
    <row r="3" spans="1:20" x14ac:dyDescent="0.25">
      <c r="B3" s="1" t="s">
        <v>21</v>
      </c>
      <c r="C3" s="1">
        <v>0</v>
      </c>
      <c r="D3" s="1">
        <v>21</v>
      </c>
      <c r="E3" s="1">
        <v>10</v>
      </c>
      <c r="F3" s="1">
        <v>0</v>
      </c>
      <c r="G3" s="1">
        <v>0</v>
      </c>
      <c r="H3" s="1">
        <v>4</v>
      </c>
      <c r="I3" s="1">
        <v>6</v>
      </c>
      <c r="J3" s="1">
        <v>0</v>
      </c>
      <c r="K3" s="1">
        <v>5</v>
      </c>
      <c r="L3" s="1">
        <f>SUM(K3,J3,I3,H3,G3,F3,E3,D3,C3)</f>
        <v>46</v>
      </c>
      <c r="M3" s="1">
        <v>50</v>
      </c>
      <c r="N3" s="1">
        <f>AVERAGE(M3,L3)</f>
        <v>48</v>
      </c>
    </row>
    <row r="4" spans="1:20" x14ac:dyDescent="0.25">
      <c r="B4" s="1" t="s">
        <v>22</v>
      </c>
      <c r="C4" s="1">
        <v>20</v>
      </c>
      <c r="D4" s="1">
        <v>20</v>
      </c>
      <c r="E4" s="1">
        <v>5</v>
      </c>
      <c r="F4" s="1">
        <v>2.5</v>
      </c>
      <c r="G4" s="1">
        <v>5</v>
      </c>
      <c r="H4" s="1">
        <v>3.5</v>
      </c>
      <c r="I4" s="1">
        <v>4</v>
      </c>
      <c r="J4" s="1">
        <v>5</v>
      </c>
      <c r="K4" s="1">
        <v>5</v>
      </c>
      <c r="L4" s="1">
        <f>SUM(C4:K4)</f>
        <v>70</v>
      </c>
      <c r="M4" s="1">
        <v>30</v>
      </c>
      <c r="N4" s="1">
        <f>AVERAGE(M4,L4)</f>
        <v>50</v>
      </c>
    </row>
    <row r="5" spans="1:20" x14ac:dyDescent="0.25">
      <c r="B5" s="1" t="s">
        <v>23</v>
      </c>
      <c r="C5" s="1">
        <v>20</v>
      </c>
      <c r="D5" s="1">
        <v>20</v>
      </c>
      <c r="E5" s="1">
        <v>5</v>
      </c>
      <c r="F5" s="1">
        <v>2.5</v>
      </c>
      <c r="G5" s="1">
        <v>5</v>
      </c>
      <c r="H5" s="1">
        <v>3.5</v>
      </c>
      <c r="I5" s="1">
        <v>4</v>
      </c>
      <c r="J5" s="1">
        <v>5</v>
      </c>
      <c r="K5" s="1">
        <v>5</v>
      </c>
      <c r="L5" s="1">
        <f t="shared" ref="L5:L7" si="0">SUM(K5,J5,I5,H5,G5,F5,E5,D5,C5)</f>
        <v>70</v>
      </c>
      <c r="M5" s="1">
        <v>30</v>
      </c>
      <c r="N5" s="1">
        <f>AVERAGE(M5,L5)</f>
        <v>50</v>
      </c>
    </row>
    <row r="6" spans="1:20" x14ac:dyDescent="0.25">
      <c r="B6" s="1" t="s">
        <v>24</v>
      </c>
      <c r="C6" s="1">
        <v>20</v>
      </c>
      <c r="D6" s="1">
        <v>20</v>
      </c>
      <c r="E6" s="1">
        <v>5</v>
      </c>
      <c r="F6" s="1">
        <v>2.5</v>
      </c>
      <c r="G6" s="1">
        <v>5</v>
      </c>
      <c r="H6" s="1">
        <v>3.5</v>
      </c>
      <c r="I6" s="1">
        <v>4</v>
      </c>
      <c r="J6" s="1">
        <v>5</v>
      </c>
      <c r="K6" s="1">
        <v>5</v>
      </c>
      <c r="L6" s="1">
        <f t="shared" si="0"/>
        <v>70</v>
      </c>
      <c r="M6" s="1">
        <v>30</v>
      </c>
      <c r="N6" s="1">
        <f>AVERAGE(M6,L6)</f>
        <v>50</v>
      </c>
    </row>
    <row r="7" spans="1:20" x14ac:dyDescent="0.25">
      <c r="B7" s="1" t="s">
        <v>25</v>
      </c>
      <c r="C7" s="1">
        <v>20</v>
      </c>
      <c r="D7" s="1">
        <v>20</v>
      </c>
      <c r="E7" s="1">
        <v>5</v>
      </c>
      <c r="F7" s="1">
        <v>2.5</v>
      </c>
      <c r="G7" s="1">
        <v>5</v>
      </c>
      <c r="H7" s="1">
        <v>3.5</v>
      </c>
      <c r="I7" s="1">
        <v>4</v>
      </c>
      <c r="J7" s="1">
        <v>5</v>
      </c>
      <c r="K7" s="1">
        <v>5</v>
      </c>
      <c r="L7" s="1">
        <f t="shared" si="0"/>
        <v>70</v>
      </c>
      <c r="M7" s="1">
        <v>30</v>
      </c>
      <c r="N7" s="1">
        <f>AVERAGE(M7,L7)</f>
        <v>50</v>
      </c>
    </row>
    <row r="8" spans="1:20" x14ac:dyDescent="0.25">
      <c r="A8" s="1" t="s">
        <v>39</v>
      </c>
      <c r="B8" s="1" t="s">
        <v>38</v>
      </c>
      <c r="O8" s="1">
        <f>AVERAGE(N3,N4,N5,N6,N7)</f>
        <v>49.6</v>
      </c>
      <c r="P8" s="1">
        <v>25</v>
      </c>
      <c r="Q8" s="1">
        <v>25</v>
      </c>
      <c r="R8" s="1">
        <f>AVERAGE(M3,M4,M5,M6,M7)</f>
        <v>34</v>
      </c>
      <c r="S8" s="1">
        <f>SUM(Q8,P8)</f>
        <v>50</v>
      </c>
      <c r="T8" s="1">
        <f>AVERAGE(S8,O8)</f>
        <v>49.8</v>
      </c>
    </row>
    <row r="10" spans="1:20" x14ac:dyDescent="0.25">
      <c r="B10" s="1" t="s">
        <v>37</v>
      </c>
      <c r="L10" s="1">
        <f>SUM(K10,J10,I10,H10,G10,F10,E10,D10,C10)</f>
        <v>0</v>
      </c>
      <c r="M10" s="1">
        <v>50</v>
      </c>
      <c r="N10" s="1">
        <f>AVERAGE(M10,L10)</f>
        <v>25</v>
      </c>
    </row>
    <row r="11" spans="1:20" x14ac:dyDescent="0.25">
      <c r="B11" s="1" t="s">
        <v>40</v>
      </c>
      <c r="L11" s="1">
        <f>SUM(C11:K11)</f>
        <v>0</v>
      </c>
      <c r="M11" s="1">
        <v>30</v>
      </c>
      <c r="N11" s="1">
        <f>AVERAGE(M11,L11)</f>
        <v>15</v>
      </c>
    </row>
    <row r="12" spans="1:20" x14ac:dyDescent="0.25">
      <c r="B12" s="1" t="s">
        <v>41</v>
      </c>
      <c r="L12" s="1">
        <f t="shared" ref="L12:L14" si="1">SUM(K12,J12,I12,H12,G12,F12,E12,D12,C12)</f>
        <v>0</v>
      </c>
      <c r="M12" s="1">
        <v>30</v>
      </c>
      <c r="N12" s="1">
        <f>AVERAGE(M12,L12)</f>
        <v>15</v>
      </c>
    </row>
    <row r="13" spans="1:20" x14ac:dyDescent="0.25">
      <c r="B13" s="1" t="s">
        <v>42</v>
      </c>
      <c r="L13" s="1">
        <f t="shared" si="1"/>
        <v>0</v>
      </c>
      <c r="M13" s="1">
        <v>30</v>
      </c>
      <c r="N13" s="1">
        <f>AVERAGE(M13,L13)</f>
        <v>15</v>
      </c>
    </row>
    <row r="14" spans="1:20" x14ac:dyDescent="0.25">
      <c r="B14" s="1" t="s">
        <v>43</v>
      </c>
      <c r="L14" s="1">
        <f t="shared" si="1"/>
        <v>0</v>
      </c>
      <c r="M14" s="1">
        <v>30</v>
      </c>
      <c r="N14" s="1">
        <f>AVERAGE(M14,L14)</f>
        <v>15</v>
      </c>
    </row>
    <row r="15" spans="1:20" x14ac:dyDescent="0.25">
      <c r="A15" s="1" t="s">
        <v>39</v>
      </c>
      <c r="B15" s="1" t="s">
        <v>44</v>
      </c>
      <c r="O15" s="1">
        <f>AVERAGE(N10,N11,N12,N13,N14)</f>
        <v>17</v>
      </c>
      <c r="P15" s="1">
        <v>25</v>
      </c>
      <c r="Q15" s="1">
        <v>25</v>
      </c>
      <c r="R15" s="1">
        <f>AVERAGE(M10,M11,M12,M13,M14)</f>
        <v>34</v>
      </c>
      <c r="S15" s="1">
        <f>SUM(Q15,P15)</f>
        <v>50</v>
      </c>
      <c r="T15" s="1">
        <f>AVERAGE(S15,O15)</f>
        <v>33.5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rightToLeft="1" workbookViewId="0">
      <selection activeCell="F13" sqref="F13"/>
    </sheetView>
  </sheetViews>
  <sheetFormatPr defaultRowHeight="15" x14ac:dyDescent="0.25"/>
  <cols>
    <col min="1" max="1" width="18.42578125" style="1" customWidth="1"/>
    <col min="2" max="2" width="18.28515625" style="1" customWidth="1"/>
    <col min="3" max="3" width="17.28515625" style="1" customWidth="1"/>
    <col min="4" max="4" width="16.85546875" style="1" customWidth="1"/>
    <col min="5" max="5" width="12.7109375" style="1" customWidth="1"/>
    <col min="6" max="6" width="18.140625" style="1" customWidth="1"/>
    <col min="7" max="16384" width="9.140625" style="1"/>
  </cols>
  <sheetData>
    <row r="1" spans="1:6" x14ac:dyDescent="0.25">
      <c r="A1" s="1" t="s">
        <v>45</v>
      </c>
      <c r="B1" s="1" t="s">
        <v>46</v>
      </c>
      <c r="C1" s="1" t="s">
        <v>47</v>
      </c>
      <c r="D1" s="1" t="s">
        <v>49</v>
      </c>
      <c r="E1" s="1" t="s">
        <v>50</v>
      </c>
      <c r="F1" s="1" t="s">
        <v>48</v>
      </c>
    </row>
    <row r="2" spans="1:6" x14ac:dyDescent="0.25">
      <c r="A2" s="1" t="s">
        <v>0</v>
      </c>
      <c r="B2" s="1">
        <v>67</v>
      </c>
      <c r="C2" s="1">
        <v>50</v>
      </c>
      <c r="D2" s="1">
        <v>39.5</v>
      </c>
      <c r="E2" s="1">
        <v>27.75</v>
      </c>
      <c r="F2" s="1">
        <v>67</v>
      </c>
    </row>
    <row r="3" spans="1:6" x14ac:dyDescent="0.25">
      <c r="A3" s="1" t="s">
        <v>51</v>
      </c>
      <c r="B3" s="1">
        <v>73</v>
      </c>
      <c r="C3" s="1">
        <v>52</v>
      </c>
      <c r="D3" s="1">
        <v>47.5</v>
      </c>
      <c r="E3" s="1">
        <v>37</v>
      </c>
      <c r="F3" s="1">
        <v>79</v>
      </c>
    </row>
    <row r="4" spans="1:6" x14ac:dyDescent="0.25">
      <c r="A4" s="1" t="s">
        <v>52</v>
      </c>
      <c r="B4" s="1">
        <v>75</v>
      </c>
      <c r="C4" s="1">
        <v>51</v>
      </c>
      <c r="D4" s="1">
        <v>45</v>
      </c>
      <c r="E4" s="1">
        <v>38</v>
      </c>
      <c r="F4" s="1">
        <v>79</v>
      </c>
    </row>
    <row r="5" spans="1:6" x14ac:dyDescent="0.25">
      <c r="A5" s="1" t="s">
        <v>53</v>
      </c>
      <c r="B5" s="1">
        <v>77</v>
      </c>
      <c r="C5" s="1">
        <v>59</v>
      </c>
      <c r="D5" s="1">
        <v>44</v>
      </c>
      <c r="E5" s="1">
        <v>34</v>
      </c>
      <c r="F5" s="1">
        <v>77.5</v>
      </c>
    </row>
    <row r="6" spans="1:6" x14ac:dyDescent="0.25">
      <c r="A6" s="1" t="s">
        <v>28</v>
      </c>
      <c r="B6" s="1">
        <v>60</v>
      </c>
      <c r="C6" s="1">
        <v>55</v>
      </c>
      <c r="D6" s="1">
        <v>38</v>
      </c>
      <c r="E6" s="1">
        <v>29.25</v>
      </c>
      <c r="F6" s="1">
        <v>63.5</v>
      </c>
    </row>
    <row r="7" spans="1:6" x14ac:dyDescent="0.25">
      <c r="A7" s="1" t="s">
        <v>29</v>
      </c>
      <c r="B7" s="1">
        <v>67</v>
      </c>
      <c r="C7" s="1">
        <v>43</v>
      </c>
      <c r="D7" s="1">
        <v>43</v>
      </c>
      <c r="E7" s="1">
        <v>27.75</v>
      </c>
      <c r="F7" s="1">
        <v>69</v>
      </c>
    </row>
    <row r="8" spans="1:6" x14ac:dyDescent="0.25">
      <c r="A8" s="1" t="s">
        <v>54</v>
      </c>
      <c r="B8" s="1">
        <v>78</v>
      </c>
      <c r="C8" s="1">
        <v>60</v>
      </c>
      <c r="D8" s="1">
        <v>44</v>
      </c>
      <c r="E8" s="1">
        <v>33</v>
      </c>
      <c r="F8" s="1">
        <v>77.5</v>
      </c>
    </row>
    <row r="9" spans="1:6" x14ac:dyDescent="0.25">
      <c r="A9" s="1" t="s">
        <v>55</v>
      </c>
      <c r="B9" s="1">
        <v>65</v>
      </c>
      <c r="C9" s="1">
        <v>48</v>
      </c>
      <c r="D9" s="1">
        <v>50</v>
      </c>
      <c r="E9" s="1">
        <v>29</v>
      </c>
      <c r="F9" s="1">
        <v>72</v>
      </c>
    </row>
    <row r="10" spans="1:6" x14ac:dyDescent="0.25">
      <c r="A10" s="1" t="s">
        <v>56</v>
      </c>
      <c r="B10" s="1">
        <v>67</v>
      </c>
      <c r="C10" s="1">
        <v>46</v>
      </c>
      <c r="D10" s="1">
        <v>45</v>
      </c>
      <c r="E10" s="1">
        <v>36.25</v>
      </c>
      <c r="F10" s="1">
        <v>74</v>
      </c>
    </row>
    <row r="11" spans="1:6" x14ac:dyDescent="0.25">
      <c r="A11" s="1" t="s">
        <v>33</v>
      </c>
      <c r="B11" s="1">
        <v>70</v>
      </c>
      <c r="C11" s="1">
        <v>45</v>
      </c>
      <c r="D11" s="1">
        <v>47</v>
      </c>
      <c r="E11" s="1">
        <v>40.5</v>
      </c>
      <c r="F11" s="1">
        <v>79</v>
      </c>
    </row>
    <row r="12" spans="1:6" x14ac:dyDescent="0.25">
      <c r="A12" s="1" t="s">
        <v>35</v>
      </c>
      <c r="B12" s="1">
        <v>25</v>
      </c>
      <c r="C12" s="1">
        <v>34</v>
      </c>
      <c r="D12" s="1">
        <v>25</v>
      </c>
      <c r="E12" s="1">
        <v>25</v>
      </c>
      <c r="F12" s="1">
        <v>50</v>
      </c>
    </row>
    <row r="13" spans="1:6" x14ac:dyDescent="0.25">
      <c r="A13" s="1" t="s">
        <v>34</v>
      </c>
      <c r="B13" s="1">
        <v>28</v>
      </c>
      <c r="C13" s="1">
        <v>33</v>
      </c>
      <c r="D13" s="1">
        <v>25</v>
      </c>
      <c r="E13" s="1">
        <v>25</v>
      </c>
      <c r="F13" s="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 gostar</dc:creator>
  <cp:lastModifiedBy>pars gostar</cp:lastModifiedBy>
  <cp:lastPrinted>2026-08-11T16:37:46Z</cp:lastPrinted>
  <dcterms:created xsi:type="dcterms:W3CDTF">2026-08-11T16:19:59Z</dcterms:created>
  <dcterms:modified xsi:type="dcterms:W3CDTF">2026-08-13T14:22:57Z</dcterms:modified>
</cp:coreProperties>
</file>